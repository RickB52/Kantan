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sk Plan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ntent Backlog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7">
    <font>
      <name val="Carlito"/>
      <sz val="11"/>
    </font>
    <font>
      <name val="Carlito"/>
      <b val="1"/>
      <color rgb="001E293B"/>
      <sz val="18"/>
    </font>
    <font>
      <name val="Carlito"/>
      <color rgb="0064748B"/>
      <sz val="11"/>
    </font>
    <font>
      <name val="Carlito"/>
      <b val="1"/>
      <color rgb="00FFFFFF"/>
      <sz val="11"/>
    </font>
    <font>
      <name val="Carlito"/>
      <color rgb="001E293B"/>
      <sz val="10"/>
    </font>
    <font>
      <name val="Carlito"/>
      <b val="1"/>
      <color rgb="00475569"/>
      <sz val="11"/>
    </font>
    <font>
      <name val="Carlito"/>
      <b val="1"/>
      <color rgb="001E293B"/>
      <sz val="13"/>
    </font>
  </fonts>
  <fills count="2">
    <fill>
      <patternFill/>
    </fill>
    <fill>
      <patternFill patternType="gray125"/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4" fillId="0" borderId="1" pivotButton="0" quotePrefix="0" xfId="0"/>
    <xf numFmtId="164" fontId="4" fillId="0" borderId="0" pivotButton="0" quotePrefix="0" xfId="0"/>
    <xf numFmtId="164" fontId="4" fillId="0" borderId="1" pivotButton="0" quotePrefix="0" xfId="0"/>
    <xf numFmtId="165" fontId="4" fillId="0" borderId="0" pivotButton="0" quotePrefix="0" xfId="0"/>
    <xf numFmtId="165" fontId="4" fillId="0" borderId="1" pivotButton="0" quotePrefix="0" xfId="0"/>
    <xf numFmtId="9" fontId="4" fillId="0" borderId="0" pivotButton="0" quotePrefix="0" xfId="0"/>
    <xf numFmtId="9" fontId="4" fillId="0" borderId="1" pivotButton="0" quotePrefix="0" xfId="0"/>
    <xf numFmtId="9" fontId="0" fillId="0" borderId="0" pivotButton="0" quotePrefix="0" xfId="0"/>
    <xf numFmtId="9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5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9" fontId="6" fillId="0" borderId="0" pivotButton="0" quotePrefix="0" xfId="0"/>
    <xf numFmtId="165" fontId="6" fillId="0" borderId="0" pivotButton="0" quotePrefix="0" xfId="0"/>
    <xf numFmtId="0" fontId="6" fillId="0" borderId="1" pivotButton="0" quotePrefix="0" xfId="0"/>
    <xf numFmtId="9" fontId="6" fillId="0" borderId="1" pivotButton="0" quotePrefix="0" xfId="0"/>
    <xf numFmtId="165" fontId="6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9" fontId="4" fillId="0" borderId="0" pivotButton="0" quotePrefix="0" xfId="0"/>
    <xf numFmtId="9" fontId="0" fillId="0" borderId="0" pivotButton="0" quotePrefix="0" xfId="0"/>
    <xf numFmtId="9" fontId="6" fillId="0" borderId="0" pivotButton="0" quotePrefix="0" xfId="0"/>
    <xf numFmtId="165" fontId="6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cols>
    <col width="9" customWidth="1" style="2" min="1" max="1"/>
    <col width="11" customWidth="1" style="2" min="2" max="2"/>
    <col width="18" customWidth="1" style="2" min="3" max="3"/>
    <col width="22" customWidth="1" style="2" min="4" max="4"/>
    <col width="32" customWidth="1" style="2" min="5" max="5"/>
    <col width="44" customWidth="1" style="2" min="6" max="6"/>
    <col width="10" customWidth="1" style="2" min="7" max="7"/>
    <col width="12" customWidth="1" style="2" min="8" max="8"/>
    <col width="14" customWidth="1" style="2" min="9" max="9"/>
    <col width="12" customWidth="1" style="2" min="10" max="10"/>
    <col width="12" customWidth="1" style="2" min="11" max="11"/>
    <col width="9" customWidth="1" style="2" min="12" max="12"/>
    <col width="11" customWidth="1" style="2" min="13" max="13"/>
    <col width="16" customWidth="1" style="2" min="14" max="14"/>
    <col width="22" customWidth="1" style="2" min="15" max="15"/>
    <col width="28" customWidth="1" style="2" min="16" max="16"/>
  </cols>
  <sheetData>
    <row r="1">
      <c r="A1" s="3" t="inlineStr">
        <is>
          <t>Senpai MVP — Task Plan Coding</t>
        </is>
      </c>
      <c r="B1" s="3" t="str"/>
      <c r="C1" s="3" t="str"/>
      <c r="D1" s="3" t="str"/>
      <c r="E1" s="3" t="str"/>
      <c r="F1" s="3" t="str"/>
      <c r="G1" s="3" t="str"/>
      <c r="H1" s="3" t="str"/>
      <c r="I1" s="3" t="str"/>
      <c r="J1" s="3" t="str"/>
      <c r="K1" s="3" t="str"/>
      <c r="L1" s="3" t="str"/>
      <c r="M1" s="3" t="str"/>
      <c r="N1" s="3" t="str"/>
      <c r="O1" s="3" t="str"/>
      <c r="P1" s="3" t="str"/>
    </row>
    <row r="2">
      <c r="A2" s="6" t="inlineStr">
        <is>
          <t>File quản lý đầu task coding cho MVP static web: Landing → Lesson → Progress → Quiz → Flashcard → Polish</t>
        </is>
      </c>
      <c r="B2" s="6" t="str"/>
      <c r="C2" s="6" t="str"/>
      <c r="D2" s="6" t="str"/>
      <c r="E2" s="6" t="str"/>
      <c r="F2" s="6" t="str"/>
      <c r="G2" s="6" t="str"/>
      <c r="H2" s="6" t="str"/>
      <c r="I2" s="6" t="str"/>
      <c r="J2" s="6" t="str"/>
      <c r="K2" s="6" t="str"/>
      <c r="L2" s="6" t="str"/>
      <c r="M2" s="6" t="str"/>
      <c r="N2" s="6" t="str"/>
      <c r="O2" s="6" t="str"/>
      <c r="P2" s="6" t="str"/>
    </row>
    <row r="4" ht="32" customHeight="1" s="2">
      <c r="A4" s="8" t="inlineStr">
        <is>
          <t>ID</t>
        </is>
      </c>
      <c r="B4" s="8" t="inlineStr">
        <is>
          <t>Sprint</t>
        </is>
      </c>
      <c r="C4" s="8" t="inlineStr">
        <is>
          <t>Nhóm function</t>
        </is>
      </c>
      <c r="D4" s="8" t="inlineStr">
        <is>
          <t>Module/Trang</t>
        </is>
      </c>
      <c r="E4" s="8" t="inlineStr">
        <is>
          <t>Đầu task coding</t>
        </is>
      </c>
      <c r="F4" s="8" t="inlineStr">
        <is>
          <t>Mô tả chi tiết</t>
        </is>
      </c>
      <c r="G4" s="8" t="inlineStr">
        <is>
          <t>Priority</t>
        </is>
      </c>
      <c r="H4" s="8" t="inlineStr">
        <is>
          <t>Owner</t>
        </is>
      </c>
      <c r="I4" s="8" t="inlineStr">
        <is>
          <t>Status</t>
        </is>
      </c>
      <c r="J4" s="8" t="inlineStr">
        <is>
          <t>Start Date</t>
        </is>
      </c>
      <c r="K4" s="8" t="inlineStr">
        <is>
          <t>Due Date</t>
        </is>
      </c>
      <c r="L4" s="8" t="inlineStr">
        <is>
          <t>Est. Days</t>
        </is>
      </c>
      <c r="M4" s="8" t="inlineStr">
        <is>
          <t>Progress %</t>
        </is>
      </c>
      <c r="N4" s="8" t="inlineStr">
        <is>
          <t>Dependency</t>
        </is>
      </c>
      <c r="O4" s="8" t="inlineStr">
        <is>
          <t>Deliverable</t>
        </is>
      </c>
      <c r="P4" s="8" t="inlineStr">
        <is>
          <t>Notes</t>
        </is>
      </c>
    </row>
    <row r="5" ht="45" customHeight="1" s="2">
      <c r="A5" s="10" t="inlineStr">
        <is>
          <t>T001</t>
        </is>
      </c>
      <c r="B5" s="10" t="inlineStr">
        <is>
          <t>Sprint 1</t>
        </is>
      </c>
      <c r="C5" s="10" t="inlineStr">
        <is>
          <t>Setup</t>
        </is>
      </c>
      <c r="D5" s="10" t="inlineStr">
        <is>
          <t>Project Structure</t>
        </is>
      </c>
      <c r="E5" s="10" t="inlineStr">
        <is>
          <t>Tạo folder structure Senpai</t>
        </is>
      </c>
      <c r="F5" s="10" t="inlineStr">
        <is>
          <t>Tạo đầy đủ folder japanese, stage, assets, docs theo cấu trúc dự án.</t>
        </is>
      </c>
      <c r="G5" s="10" t="inlineStr">
        <is>
          <t>High</t>
        </is>
      </c>
      <c r="H5" s="10" t="inlineStr">
        <is>
          <t>FE Dev</t>
        </is>
      </c>
      <c r="I5" s="10" t="inlineStr">
        <is>
          <t>Done</t>
        </is>
      </c>
      <c r="J5" s="30" t="n">
        <v>46146</v>
      </c>
      <c r="K5" s="30" t="n">
        <v>46146</v>
      </c>
      <c r="L5" s="31" t="n">
        <v>0.5</v>
      </c>
      <c r="M5" s="32" t="n">
        <v>1</v>
      </c>
      <c r="N5" s="10" t="str"/>
      <c r="O5" s="10" t="inlineStr">
        <is>
          <t>Folder project</t>
        </is>
      </c>
      <c r="P5" s="10" t="str"/>
    </row>
    <row r="6" ht="45" customHeight="1" s="2">
      <c r="A6" s="10" t="inlineStr">
        <is>
          <t>T002</t>
        </is>
      </c>
      <c r="B6" s="10" t="inlineStr">
        <is>
          <t>Sprint 1</t>
        </is>
      </c>
      <c r="C6" s="10" t="inlineStr">
        <is>
          <t>Setup</t>
        </is>
      </c>
      <c r="D6" s="10" t="inlineStr">
        <is>
          <t>Project Structure</t>
        </is>
      </c>
      <c r="E6" s="10" t="inlineStr">
        <is>
          <t>Tạo file CSS/JS rỗng ban đầu</t>
        </is>
      </c>
      <c r="F6" s="10" t="inlineStr">
        <is>
          <t>Tạo main.css, components.css, lesson.css, progress.js, quiz.js, flashcard.js, theme.js.</t>
        </is>
      </c>
      <c r="G6" s="10" t="inlineStr">
        <is>
          <t>High</t>
        </is>
      </c>
      <c r="H6" s="10" t="inlineStr">
        <is>
          <t>FE Dev</t>
        </is>
      </c>
      <c r="I6" s="10" t="inlineStr">
        <is>
          <t>Done</t>
        </is>
      </c>
      <c r="J6" s="30" t="n">
        <v>46147</v>
      </c>
      <c r="K6" s="30" t="n">
        <v>46147</v>
      </c>
      <c r="L6" s="31" t="n">
        <v>0.5</v>
      </c>
      <c r="M6" s="32" t="n">
        <v>1</v>
      </c>
      <c r="N6" s="10" t="inlineStr">
        <is>
          <t>T001</t>
        </is>
      </c>
      <c r="O6" s="10" t="inlineStr">
        <is>
          <t>Skeleton assets</t>
        </is>
      </c>
      <c r="P6" s="10" t="str"/>
    </row>
    <row r="7" ht="45" customHeight="1" s="2">
      <c r="A7" s="10" t="inlineStr">
        <is>
          <t>T003</t>
        </is>
      </c>
      <c r="B7" s="10" t="inlineStr">
        <is>
          <t>Sprint 1</t>
        </is>
      </c>
      <c r="C7" s="10" t="inlineStr">
        <is>
          <t>Landing</t>
        </is>
      </c>
      <c r="D7" s="10" t="inlineStr">
        <is>
          <t>index.html</t>
        </is>
      </c>
      <c r="E7" s="10" t="inlineStr">
        <is>
          <t>Tạo layout landing page</t>
        </is>
      </c>
      <c r="F7" s="10" t="inlineStr">
        <is>
          <t>Hero, đối tượng học, lời hứa giá trị, CTA bắt đầu học.</t>
        </is>
      </c>
      <c r="G7" s="10" t="inlineStr">
        <is>
          <t>High</t>
        </is>
      </c>
      <c r="H7" s="10" t="inlineStr">
        <is>
          <t>FE Dev</t>
        </is>
      </c>
      <c r="I7" s="10" t="inlineStr">
        <is>
          <t>Done</t>
        </is>
      </c>
      <c r="J7" s="30" t="n">
        <v>46148</v>
      </c>
      <c r="K7" s="30" t="n">
        <v>46148</v>
      </c>
      <c r="L7" s="31" t="n">
        <v>1</v>
      </c>
      <c r="M7" s="32" t="n">
        <v>1</v>
      </c>
      <c r="N7" s="10" t="inlineStr">
        <is>
          <t>T001</t>
        </is>
      </c>
      <c r="O7" s="10" t="inlineStr">
        <is>
          <t>Landing page</t>
        </is>
      </c>
      <c r="P7" s="10" t="str"/>
    </row>
    <row r="8" ht="45" customHeight="1" s="2">
      <c r="A8" s="10" t="inlineStr">
        <is>
          <t>T004</t>
        </is>
      </c>
      <c r="B8" s="10" t="inlineStr">
        <is>
          <t>Sprint 1</t>
        </is>
      </c>
      <c r="C8" s="10" t="inlineStr">
        <is>
          <t>Landing</t>
        </is>
      </c>
      <c r="D8" s="10" t="inlineStr">
        <is>
          <t>index.html</t>
        </is>
      </c>
      <c r="E8" s="10" t="inlineStr">
        <is>
          <t>Viết nội dung landing page</t>
        </is>
      </c>
      <c r="F8" s="10" t="inlineStr">
        <is>
          <t>Nội dung ngắn gọn cho Senpai: tiếng Nhật công sở thực chiến cho IT Nhật.</t>
        </is>
      </c>
      <c r="G8" s="10" t="inlineStr">
        <is>
          <t>High</t>
        </is>
      </c>
      <c r="H8" s="10" t="inlineStr">
        <is>
          <t>Content</t>
        </is>
      </c>
      <c r="I8" s="10" t="inlineStr">
        <is>
          <t>Done</t>
        </is>
      </c>
      <c r="J8" s="30" t="n">
        <v>46149</v>
      </c>
      <c r="K8" s="30" t="n">
        <v>46149</v>
      </c>
      <c r="L8" s="31" t="n">
        <v>0.5</v>
      </c>
      <c r="M8" s="32" t="n">
        <v>1</v>
      </c>
      <c r="N8" s="10" t="inlineStr">
        <is>
          <t>T003</t>
        </is>
      </c>
      <c r="O8" s="10" t="inlineStr">
        <is>
          <t>Landing copy</t>
        </is>
      </c>
      <c r="P8" s="10" t="str"/>
    </row>
    <row r="9" ht="45" customHeight="1" s="2">
      <c r="A9" s="10" t="inlineStr">
        <is>
          <t>T005</t>
        </is>
      </c>
      <c r="B9" s="10" t="inlineStr">
        <is>
          <t>Sprint 1</t>
        </is>
      </c>
      <c r="C9" s="10" t="inlineStr">
        <is>
          <t>UI Component</t>
        </is>
      </c>
      <c r="D9" s="10" t="inlineStr">
        <is>
          <t>Header/Footer</t>
        </is>
      </c>
      <c r="E9" s="10" t="inlineStr">
        <is>
          <t>Tạo global header và footer</t>
        </is>
      </c>
      <c r="F9" s="10" t="inlineStr">
        <is>
          <t>Header có logo, menu, CTA; footer có thông tin dự án.</t>
        </is>
      </c>
      <c r="G9" s="10" t="inlineStr">
        <is>
          <t>Medium</t>
        </is>
      </c>
      <c r="H9" s="10" t="inlineStr">
        <is>
          <t>FE Dev</t>
        </is>
      </c>
      <c r="I9" s="10" t="inlineStr">
        <is>
          <t>Done</t>
        </is>
      </c>
      <c r="J9" s="30" t="n">
        <v>46150</v>
      </c>
      <c r="K9" s="30" t="n">
        <v>46150</v>
      </c>
      <c r="L9" s="31" t="n">
        <v>0.5</v>
      </c>
      <c r="M9" s="32" t="n">
        <v>1</v>
      </c>
      <c r="N9" s="10" t="inlineStr">
        <is>
          <t>T003</t>
        </is>
      </c>
      <c r="O9" s="10" t="inlineStr">
        <is>
          <t>Header/footer</t>
        </is>
      </c>
      <c r="P9" s="10" t="str"/>
    </row>
    <row r="10" ht="45" customHeight="1" s="2">
      <c r="A10" s="10" t="inlineStr">
        <is>
          <t>T006</t>
        </is>
      </c>
      <c r="B10" s="10" t="inlineStr">
        <is>
          <t>Sprint 1</t>
        </is>
      </c>
      <c r="C10" s="10" t="inlineStr">
        <is>
          <t>Japanese Hub</t>
        </is>
      </c>
      <c r="D10" s="10" t="inlineStr">
        <is>
          <t>japanese/index.html</t>
        </is>
      </c>
      <c r="E10" s="10" t="inlineStr">
        <is>
          <t>Tạo Japanese Hub</t>
        </is>
      </c>
      <c r="F10" s="10" t="inlineStr">
        <is>
          <t>Trang chọn giai đoạn học Stage 1-4.</t>
        </is>
      </c>
      <c r="G10" s="10" t="inlineStr">
        <is>
          <t>High</t>
        </is>
      </c>
      <c r="H10" s="10" t="inlineStr">
        <is>
          <t>FE Dev</t>
        </is>
      </c>
      <c r="I10" s="10" t="inlineStr">
        <is>
          <t>Done</t>
        </is>
      </c>
      <c r="J10" s="30" t="n">
        <v>46151</v>
      </c>
      <c r="K10" s="30" t="n">
        <v>46151</v>
      </c>
      <c r="L10" s="31" t="n">
        <v>1</v>
      </c>
      <c r="M10" s="32" t="n">
        <v>1</v>
      </c>
      <c r="N10" s="10" t="inlineStr">
        <is>
          <t>T001</t>
        </is>
      </c>
      <c r="O10" s="10" t="inlineStr">
        <is>
          <t>Hub page</t>
        </is>
      </c>
      <c r="P10" s="10" t="str"/>
    </row>
    <row r="11" ht="45" customHeight="1" s="2">
      <c r="A11" s="10" t="inlineStr">
        <is>
          <t>T007</t>
        </is>
      </c>
      <c r="B11" s="10" t="inlineStr">
        <is>
          <t>Sprint 1</t>
        </is>
      </c>
      <c r="C11" s="10" t="inlineStr">
        <is>
          <t>Japanese Hub</t>
        </is>
      </c>
      <c r="D11" s="10" t="inlineStr">
        <is>
          <t>Stage Cards</t>
        </is>
      </c>
      <c r="E11" s="10" t="inlineStr">
        <is>
          <t>Tạo card cho 4 stage</t>
        </is>
      </c>
      <c r="F11" s="10" t="inlineStr">
        <is>
          <t>Mỗi card có tên stage, mô tả, số module, progress placeholder.</t>
        </is>
      </c>
      <c r="G11" s="10" t="inlineStr">
        <is>
          <t>High</t>
        </is>
      </c>
      <c r="H11" s="10" t="inlineStr">
        <is>
          <t>FE Dev</t>
        </is>
      </c>
      <c r="I11" s="10" t="inlineStr">
        <is>
          <t>Done</t>
        </is>
      </c>
      <c r="J11" s="30" t="n">
        <v>46152</v>
      </c>
      <c r="K11" s="30" t="n">
        <v>46152</v>
      </c>
      <c r="L11" s="31" t="n">
        <v>1</v>
      </c>
      <c r="M11" s="32" t="n">
        <v>1</v>
      </c>
      <c r="N11" s="10" t="inlineStr">
        <is>
          <t>T006</t>
        </is>
      </c>
      <c r="O11" s="10" t="inlineStr">
        <is>
          <t>Stage cards</t>
        </is>
      </c>
      <c r="P11" s="10" t="str"/>
    </row>
    <row r="12" ht="45" customHeight="1" s="2">
      <c r="A12" s="10" t="inlineStr">
        <is>
          <t>T008</t>
        </is>
      </c>
      <c r="B12" s="10" t="inlineStr">
        <is>
          <t>Sprint 1</t>
        </is>
      </c>
      <c r="C12" s="10" t="inlineStr">
        <is>
          <t>Stage Page</t>
        </is>
      </c>
      <c r="D12" s="10" t="inlineStr">
        <is>
          <t>stage index</t>
        </is>
      </c>
      <c r="E12" s="10" t="inlineStr">
        <is>
          <t>Tạo 4 trang stage index</t>
        </is>
      </c>
      <c r="F12" s="10" t="inlineStr">
        <is>
          <t>Tạo stage1/index.html đến stage4/index.html.</t>
        </is>
      </c>
      <c r="G12" s="10" t="inlineStr">
        <is>
          <t>High</t>
        </is>
      </c>
      <c r="H12" s="10" t="inlineStr">
        <is>
          <t>FE Dev</t>
        </is>
      </c>
      <c r="I12" s="10" t="inlineStr">
        <is>
          <t>Done</t>
        </is>
      </c>
      <c r="J12" s="30" t="n">
        <v>46153</v>
      </c>
      <c r="K12" s="30" t="n">
        <v>46153</v>
      </c>
      <c r="L12" s="31" t="n">
        <v>1</v>
      </c>
      <c r="M12" s="32" t="n">
        <v>1</v>
      </c>
      <c r="N12" s="10" t="inlineStr">
        <is>
          <t>T001</t>
        </is>
      </c>
      <c r="O12" s="10" t="inlineStr">
        <is>
          <t>Stage pages</t>
        </is>
      </c>
      <c r="P12" s="10" t="str"/>
    </row>
    <row r="13" ht="45" customHeight="1" s="2">
      <c r="A13" s="10" t="inlineStr">
        <is>
          <t>T009</t>
        </is>
      </c>
      <c r="B13" s="10" t="inlineStr">
        <is>
          <t>Sprint 1</t>
        </is>
      </c>
      <c r="C13" s="10" t="inlineStr">
        <is>
          <t>Stage 2</t>
        </is>
      </c>
      <c r="D13" s="10" t="inlineStr">
        <is>
          <t>stage2/index.html</t>
        </is>
      </c>
      <c r="E13" s="10" t="inlineStr">
        <is>
          <t>Tạo module list Stage 2</t>
        </is>
      </c>
      <c r="F13" s="10" t="inlineStr">
        <is>
          <t>Hiển thị Email, Meeting, Reporting, Keigo, Grammar, Reception.</t>
        </is>
      </c>
      <c r="G13" s="10" t="inlineStr">
        <is>
          <t>High</t>
        </is>
      </c>
      <c r="H13" s="10" t="inlineStr">
        <is>
          <t>FE Dev</t>
        </is>
      </c>
      <c r="I13" s="10" t="inlineStr">
        <is>
          <t>Done</t>
        </is>
      </c>
      <c r="J13" s="30" t="n">
        <v>46154</v>
      </c>
      <c r="K13" s="30" t="n">
        <v>46154</v>
      </c>
      <c r="L13" s="31" t="n">
        <v>1</v>
      </c>
      <c r="M13" s="32" t="n">
        <v>1</v>
      </c>
      <c r="N13" s="10" t="inlineStr">
        <is>
          <t>T008</t>
        </is>
      </c>
      <c r="O13" s="10" t="inlineStr">
        <is>
          <t>Stage2 module list</t>
        </is>
      </c>
      <c r="P13" s="10" t="str"/>
    </row>
    <row r="14" ht="45" customHeight="1" s="2">
      <c r="A14" s="10" t="inlineStr">
        <is>
          <t>T010</t>
        </is>
      </c>
      <c r="B14" s="10" t="inlineStr">
        <is>
          <t>Sprint 1</t>
        </is>
      </c>
      <c r="C14" s="10" t="inlineStr">
        <is>
          <t>Deploy</t>
        </is>
      </c>
      <c r="D14" s="10" t="inlineStr">
        <is>
          <t>GitHub Pages</t>
        </is>
      </c>
      <c r="E14" s="10" t="inlineStr">
        <is>
          <t>Deploy GitHub Pages lần 1</t>
        </is>
      </c>
      <c r="F14" s="10" t="inlineStr">
        <is>
          <t>Đưa bản khung website lên GitHub Pages để xem demo.</t>
        </is>
      </c>
      <c r="G14" s="10" t="inlineStr">
        <is>
          <t>High</t>
        </is>
      </c>
      <c r="H14" s="10" t="inlineStr">
        <is>
          <t>FE Dev</t>
        </is>
      </c>
      <c r="I14" s="10" t="inlineStr">
        <is>
          <t>Done</t>
        </is>
      </c>
      <c r="J14" s="30" t="n">
        <v>46155</v>
      </c>
      <c r="K14" s="30" t="n">
        <v>46155</v>
      </c>
      <c r="L14" s="31" t="n">
        <v>0.5</v>
      </c>
      <c r="M14" s="32" t="n">
        <v>1</v>
      </c>
      <c r="N14" s="10" t="inlineStr">
        <is>
          <t>T003,T006,T008</t>
        </is>
      </c>
      <c r="O14" s="10" t="inlineStr">
        <is>
          <t>Demo URL</t>
        </is>
      </c>
      <c r="P14" s="10" t="str"/>
    </row>
    <row r="15" ht="45" customHeight="1" s="2">
      <c r="A15" s="10" t="inlineStr">
        <is>
          <t>T011</t>
        </is>
      </c>
      <c r="B15" s="10" t="inlineStr">
        <is>
          <t>Sprint 2</t>
        </is>
      </c>
      <c r="C15" s="10" t="inlineStr">
        <is>
          <t>Lesson Template</t>
        </is>
      </c>
      <c r="D15" s="10" t="inlineStr">
        <is>
          <t>docs/lesson-template.md</t>
        </is>
      </c>
      <c r="E15" s="10" t="inlineStr">
        <is>
          <t>Tạo lesson template chuẩn</t>
        </is>
      </c>
      <c r="F15" s="10" t="inlineStr">
        <is>
          <t>Định nghĩa cấu trúc Hero, Video, Notes, Vocab, Pattern, Example, Practice, Quiz, Nav.</t>
        </is>
      </c>
      <c r="G15" s="10" t="inlineStr">
        <is>
          <t>High</t>
        </is>
      </c>
      <c r="H15" s="10" t="inlineStr">
        <is>
          <t>PM</t>
        </is>
      </c>
      <c r="I15" s="10" t="inlineStr">
        <is>
          <t>In Progress</t>
        </is>
      </c>
      <c r="J15" s="30" t="n">
        <v>46156</v>
      </c>
      <c r="K15" s="30" t="n">
        <v>46156</v>
      </c>
      <c r="L15" s="31" t="n">
        <v>0.5</v>
      </c>
      <c r="M15" s="32" t="n">
        <v>0.5</v>
      </c>
      <c r="N15" s="10" t="str"/>
      <c r="O15" s="10" t="inlineStr">
        <is>
          <t>Lesson template</t>
        </is>
      </c>
      <c r="P15" s="10" t="str"/>
    </row>
    <row r="16" ht="45" customHeight="1" s="2">
      <c r="A16" s="10" t="inlineStr">
        <is>
          <t>T012</t>
        </is>
      </c>
      <c r="B16" s="10" t="inlineStr">
        <is>
          <t>Sprint 2</t>
        </is>
      </c>
      <c r="C16" s="10" t="inlineStr">
        <is>
          <t>Lesson UI</t>
        </is>
      </c>
      <c r="D16" s="10" t="inlineStr">
        <is>
          <t>lesson.css</t>
        </is>
      </c>
      <c r="E16" s="10" t="inlineStr">
        <is>
          <t>Style lesson container</t>
        </is>
      </c>
      <c r="F16" s="10" t="inlineStr">
        <is>
          <t>CSS cho bài học, spacing, typography, Japanese block, Vietnamese note.</t>
        </is>
      </c>
      <c r="G16" s="10" t="inlineStr">
        <is>
          <t>High</t>
        </is>
      </c>
      <c r="H16" s="10" t="inlineStr">
        <is>
          <t>FE Dev</t>
        </is>
      </c>
      <c r="I16" s="10" t="inlineStr">
        <is>
          <t>Not Started</t>
        </is>
      </c>
      <c r="J16" s="30" t="n">
        <v>46157</v>
      </c>
      <c r="K16" s="30" t="n">
        <v>46157</v>
      </c>
      <c r="L16" s="31" t="n">
        <v>1</v>
      </c>
      <c r="M16" s="32">
        <f>IF(I16="Done",1,IF(I16="Review",0.8,IF(I16="In Progress",0.5,0)))</f>
        <v/>
      </c>
      <c r="N16" s="10" t="inlineStr">
        <is>
          <t>T011</t>
        </is>
      </c>
      <c r="O16" s="10" t="inlineStr">
        <is>
          <t>Lesson style</t>
        </is>
      </c>
      <c r="P16" s="10" t="str"/>
    </row>
    <row r="17" ht="45" customHeight="1" s="2">
      <c r="A17" s="10" t="inlineStr">
        <is>
          <t>T013</t>
        </is>
      </c>
      <c r="B17" s="10" t="inlineStr">
        <is>
          <t>Sprint 2</t>
        </is>
      </c>
      <c r="C17" s="10" t="inlineStr">
        <is>
          <t>Video</t>
        </is>
      </c>
      <c r="D17" s="10" t="inlineStr">
        <is>
          <t>Lesson Video Block</t>
        </is>
      </c>
      <c r="E17" s="10" t="inlineStr">
        <is>
          <t>Tạo video placeholder</t>
        </is>
      </c>
      <c r="F17" s="10" t="inlineStr">
        <is>
          <t>Khi chưa có video thì hiển thị thumbnail giả + text thông báo.</t>
        </is>
      </c>
      <c r="G17" s="10" t="inlineStr">
        <is>
          <t>High</t>
        </is>
      </c>
      <c r="H17" s="10" t="inlineStr">
        <is>
          <t>FE Dev</t>
        </is>
      </c>
      <c r="I17" s="10" t="inlineStr">
        <is>
          <t>Not Started</t>
        </is>
      </c>
      <c r="J17" s="30" t="n">
        <v>46158</v>
      </c>
      <c r="K17" s="30" t="n">
        <v>46158</v>
      </c>
      <c r="L17" s="31" t="n">
        <v>0.5</v>
      </c>
      <c r="M17" s="32">
        <f>IF(I17="Done",1,IF(I17="Review",0.8,IF(I17="In Progress",0.5,0)))</f>
        <v/>
      </c>
      <c r="N17" s="10" t="inlineStr">
        <is>
          <t>T012</t>
        </is>
      </c>
      <c r="O17" s="10" t="inlineStr">
        <is>
          <t>Video placeholder</t>
        </is>
      </c>
      <c r="P17" s="10" t="str"/>
    </row>
    <row r="18" ht="45" customHeight="1" s="2">
      <c r="A18" s="10" t="inlineStr">
        <is>
          <t>T014</t>
        </is>
      </c>
      <c r="B18" s="10" t="inlineStr">
        <is>
          <t>Sprint 2</t>
        </is>
      </c>
      <c r="C18" s="10" t="inlineStr">
        <is>
          <t>Vocab</t>
        </is>
      </c>
      <c r="D18" s="10" t="inlineStr">
        <is>
          <t>Vocab Block</t>
        </is>
      </c>
      <c r="E18" s="10" t="inlineStr">
        <is>
          <t>Tạo component từ vựng</t>
        </is>
      </c>
      <c r="F18" s="10" t="inlineStr">
        <is>
          <t>Hiển thị 3-5 từ: kanji/kana, nghĩa Việt, phiên âm, nút audio.</t>
        </is>
      </c>
      <c r="G18" s="10" t="inlineStr">
        <is>
          <t>High</t>
        </is>
      </c>
      <c r="H18" s="10" t="inlineStr">
        <is>
          <t>FE Dev</t>
        </is>
      </c>
      <c r="I18" s="10" t="inlineStr">
        <is>
          <t>Not Started</t>
        </is>
      </c>
      <c r="J18" s="30" t="n">
        <v>46159</v>
      </c>
      <c r="K18" s="30" t="n">
        <v>46159</v>
      </c>
      <c r="L18" s="31" t="n">
        <v>1</v>
      </c>
      <c r="M18" s="32">
        <f>IF(I18="Done",1,IF(I18="Review",0.8,IF(I18="In Progress",0.5,0)))</f>
        <v/>
      </c>
      <c r="N18" s="10" t="inlineStr">
        <is>
          <t>T012</t>
        </is>
      </c>
      <c r="O18" s="10" t="inlineStr">
        <is>
          <t>Vocab component</t>
        </is>
      </c>
      <c r="P18" s="10" t="str"/>
    </row>
    <row r="19" ht="45" customHeight="1" s="2">
      <c r="A19" s="10" t="inlineStr">
        <is>
          <t>T015</t>
        </is>
      </c>
      <c r="B19" s="10" t="inlineStr">
        <is>
          <t>Sprint 2</t>
        </is>
      </c>
      <c r="C19" s="10" t="inlineStr">
        <is>
          <t>Pattern</t>
        </is>
      </c>
      <c r="D19" s="10" t="inlineStr">
        <is>
          <t>Pattern Block</t>
        </is>
      </c>
      <c r="E19" s="10" t="inlineStr">
        <is>
          <t>Tạo component mẫu câu</t>
        </is>
      </c>
      <c r="F19" s="10" t="inlineStr">
        <is>
          <t>Mẫu câu cốt lõi + 2-3 biến thể theo tình huống.</t>
        </is>
      </c>
      <c r="G19" s="10" t="inlineStr">
        <is>
          <t>High</t>
        </is>
      </c>
      <c r="H19" s="10" t="inlineStr">
        <is>
          <t>FE Dev</t>
        </is>
      </c>
      <c r="I19" s="10" t="inlineStr">
        <is>
          <t>Not Started</t>
        </is>
      </c>
      <c r="J19" s="30" t="n">
        <v>46160</v>
      </c>
      <c r="K19" s="30" t="n">
        <v>46160</v>
      </c>
      <c r="L19" s="31" t="n">
        <v>1</v>
      </c>
      <c r="M19" s="32">
        <f>IF(I19="Done",1,IF(I19="Review",0.8,IF(I19="In Progress",0.5,0)))</f>
        <v/>
      </c>
      <c r="N19" s="10" t="inlineStr">
        <is>
          <t>T012</t>
        </is>
      </c>
      <c r="O19" s="10" t="inlineStr">
        <is>
          <t>Pattern component</t>
        </is>
      </c>
      <c r="P19" s="10" t="str"/>
    </row>
    <row r="20" ht="45" customHeight="1" s="2">
      <c r="A20" s="10" t="inlineStr">
        <is>
          <t>T016</t>
        </is>
      </c>
      <c r="B20" s="10" t="inlineStr">
        <is>
          <t>Sprint 2</t>
        </is>
      </c>
      <c r="C20" s="10" t="inlineStr">
        <is>
          <t>Example</t>
        </is>
      </c>
      <c r="D20" s="10" t="inlineStr">
        <is>
          <t>Example Block</t>
        </is>
      </c>
      <c r="E20" s="10" t="inlineStr">
        <is>
          <t>Tạo component ví dụ đầy đủ</t>
        </is>
      </c>
      <c r="F20" s="10" t="inlineStr">
        <is>
          <t>Email hoặc hội thoại mẫu có chú thích phần quan trọng.</t>
        </is>
      </c>
      <c r="G20" s="10" t="inlineStr">
        <is>
          <t>High</t>
        </is>
      </c>
      <c r="H20" s="10" t="inlineStr">
        <is>
          <t>FE Dev</t>
        </is>
      </c>
      <c r="I20" s="10" t="inlineStr">
        <is>
          <t>Not Started</t>
        </is>
      </c>
      <c r="J20" s="30" t="n">
        <v>46161</v>
      </c>
      <c r="K20" s="30" t="n">
        <v>46161</v>
      </c>
      <c r="L20" s="31" t="n">
        <v>1</v>
      </c>
      <c r="M20" s="32">
        <f>IF(I20="Done",1,IF(I20="Review",0.8,IF(I20="In Progress",0.5,0)))</f>
        <v/>
      </c>
      <c r="N20" s="10" t="inlineStr">
        <is>
          <t>T012</t>
        </is>
      </c>
      <c r="O20" s="10" t="inlineStr">
        <is>
          <t>Example component</t>
        </is>
      </c>
      <c r="P20" s="10" t="str"/>
    </row>
    <row r="21" ht="45" customHeight="1" s="2">
      <c r="A21" s="10" t="inlineStr">
        <is>
          <t>T017</t>
        </is>
      </c>
      <c r="B21" s="10" t="inlineStr">
        <is>
          <t>Sprint 2</t>
        </is>
      </c>
      <c r="C21" s="10" t="inlineStr">
        <is>
          <t>Practice</t>
        </is>
      </c>
      <c r="D21" s="10" t="inlineStr">
        <is>
          <t>Practice Block</t>
        </is>
      </c>
      <c r="E21" s="10" t="inlineStr">
        <is>
          <t>Tạo khung bài luyện điền từ</t>
        </is>
      </c>
      <c r="F21" s="10" t="inlineStr">
        <is>
          <t>HTML input, nút kiểm tra, vùng feedback.</t>
        </is>
      </c>
      <c r="G21" s="10" t="inlineStr">
        <is>
          <t>Medium</t>
        </is>
      </c>
      <c r="H21" s="10" t="inlineStr">
        <is>
          <t>FE Dev</t>
        </is>
      </c>
      <c r="I21" s="10" t="inlineStr">
        <is>
          <t>Not Started</t>
        </is>
      </c>
      <c r="J21" s="30" t="n">
        <v>46162</v>
      </c>
      <c r="K21" s="30" t="n">
        <v>46162</v>
      </c>
      <c r="L21" s="31" t="n">
        <v>0.75</v>
      </c>
      <c r="M21" s="32">
        <f>IF(I21="Done",1,IF(I21="Review",0.8,IF(I21="In Progress",0.5,0)))</f>
        <v/>
      </c>
      <c r="N21" s="10" t="inlineStr">
        <is>
          <t>T012</t>
        </is>
      </c>
      <c r="O21" s="10" t="inlineStr">
        <is>
          <t>Practice HTML</t>
        </is>
      </c>
      <c r="P21" s="10" t="str"/>
    </row>
    <row r="22" ht="45" customHeight="1" s="2">
      <c r="A22" s="10" t="inlineStr">
        <is>
          <t>T018</t>
        </is>
      </c>
      <c r="B22" s="10" t="inlineStr">
        <is>
          <t>Sprint 2</t>
        </is>
      </c>
      <c r="C22" s="10" t="inlineStr">
        <is>
          <t>Lesson Nav</t>
        </is>
      </c>
      <c r="D22" s="10" t="inlineStr">
        <is>
          <t>Lesson Navigation</t>
        </is>
      </c>
      <c r="E22" s="10" t="inlineStr">
        <is>
          <t>Tạo điều hướng bài học</t>
        </is>
      </c>
      <c r="F22" s="10" t="inlineStr">
        <is>
          <t>Nút bài trước, bài tiếp theo, quay lại module.</t>
        </is>
      </c>
      <c r="G22" s="10" t="inlineStr">
        <is>
          <t>Medium</t>
        </is>
      </c>
      <c r="H22" s="10" t="inlineStr">
        <is>
          <t>FE Dev</t>
        </is>
      </c>
      <c r="I22" s="10" t="inlineStr">
        <is>
          <t>Not Started</t>
        </is>
      </c>
      <c r="J22" s="30" t="n">
        <v>46163</v>
      </c>
      <c r="K22" s="30" t="n">
        <v>46163</v>
      </c>
      <c r="L22" s="31" t="n">
        <v>0.5</v>
      </c>
      <c r="M22" s="32">
        <f>IF(I22="Done",1,IF(I22="Review",0.8,IF(I22="In Progress",0.5,0)))</f>
        <v/>
      </c>
      <c r="N22" s="10" t="inlineStr">
        <is>
          <t>T012</t>
        </is>
      </c>
      <c r="O22" s="10" t="inlineStr">
        <is>
          <t>Lesson nav</t>
        </is>
      </c>
      <c r="P22" s="10" t="str"/>
    </row>
    <row r="23" ht="45" customHeight="1" s="2">
      <c r="A23" s="10" t="inlineStr">
        <is>
          <t>T019</t>
        </is>
      </c>
      <c r="B23" s="10" t="inlineStr">
        <is>
          <t>Sprint 2</t>
        </is>
      </c>
      <c r="C23" s="10" t="inlineStr">
        <is>
          <t>Lesson 01</t>
        </is>
      </c>
      <c r="D23" s="10" t="inlineStr">
        <is>
          <t>stage2/email/lesson-01.html</t>
        </is>
      </c>
      <c r="E23" s="10" t="inlineStr">
        <is>
          <t>Tạo bài Email 01</t>
        </is>
      </c>
      <c r="F23" s="10" t="inlineStr">
        <is>
          <t>Chủ đề: Xin chào khi join dự án mới.</t>
        </is>
      </c>
      <c r="G23" s="10" t="inlineStr">
        <is>
          <t>High</t>
        </is>
      </c>
      <c r="H23" s="10" t="inlineStr">
        <is>
          <t>Content</t>
        </is>
      </c>
      <c r="I23" s="10" t="inlineStr">
        <is>
          <t>Not Started</t>
        </is>
      </c>
      <c r="J23" s="30" t="n">
        <v>46164</v>
      </c>
      <c r="K23" s="30" t="n">
        <v>46165</v>
      </c>
      <c r="L23" s="31" t="n">
        <v>1.5</v>
      </c>
      <c r="M23" s="32">
        <f>IF(I23="Done",1,IF(I23="Review",0.8,IF(I23="In Progress",0.5,0)))</f>
        <v/>
      </c>
      <c r="N23" s="10" t="inlineStr">
        <is>
          <t>T011</t>
        </is>
      </c>
      <c r="O23" s="10" t="inlineStr">
        <is>
          <t>Lesson 01 content</t>
        </is>
      </c>
      <c r="P23" s="10" t="str"/>
    </row>
    <row r="24" ht="45" customHeight="1" s="2">
      <c r="A24" s="10" t="inlineStr">
        <is>
          <t>T020</t>
        </is>
      </c>
      <c r="B24" s="10" t="inlineStr">
        <is>
          <t>Sprint 2</t>
        </is>
      </c>
      <c r="C24" s="10" t="inlineStr">
        <is>
          <t>Lesson 01</t>
        </is>
      </c>
      <c r="D24" s="10" t="inlineStr">
        <is>
          <t>stage2/email/lesson-01.html</t>
        </is>
      </c>
      <c r="E24" s="10" t="inlineStr">
        <is>
          <t>Gắn nội dung vào template</t>
        </is>
      </c>
      <c r="F24" s="10" t="inlineStr">
        <is>
          <t>Đưa Hero, Vocab, Pattern, Example, Practice vào HTML.</t>
        </is>
      </c>
      <c r="G24" s="10" t="inlineStr">
        <is>
          <t>High</t>
        </is>
      </c>
      <c r="H24" s="10" t="inlineStr">
        <is>
          <t>FE Dev</t>
        </is>
      </c>
      <c r="I24" s="10" t="inlineStr">
        <is>
          <t>Not Started</t>
        </is>
      </c>
      <c r="J24" s="30" t="n">
        <v>46166</v>
      </c>
      <c r="K24" s="30" t="n">
        <v>46166</v>
      </c>
      <c r="L24" s="31" t="n">
        <v>1</v>
      </c>
      <c r="M24" s="32">
        <f>IF(I24="Done",1,IF(I24="Review",0.8,IF(I24="In Progress",0.5,0)))</f>
        <v/>
      </c>
      <c r="N24" s="10" t="inlineStr">
        <is>
          <t>T019</t>
        </is>
      </c>
      <c r="O24" s="10" t="inlineStr">
        <is>
          <t>Lesson 01 page</t>
        </is>
      </c>
      <c r="P24" s="10" t="str"/>
    </row>
    <row r="25" ht="45" customHeight="1" s="2">
      <c r="A25" s="10" t="inlineStr">
        <is>
          <t>T021</t>
        </is>
      </c>
      <c r="B25" s="10" t="inlineStr">
        <is>
          <t>Sprint 2</t>
        </is>
      </c>
      <c r="C25" s="10" t="inlineStr">
        <is>
          <t>QA</t>
        </is>
      </c>
      <c r="D25" s="10" t="inlineStr">
        <is>
          <t>Lesson QA</t>
        </is>
      </c>
      <c r="E25" s="10" t="inlineStr">
        <is>
          <t>Kiểm tra lesson mẫu</t>
        </is>
      </c>
      <c r="F25" s="10" t="inlineStr">
        <is>
          <t>Kiểm tra hiển thị mobile, link, font Nhật-Việt, spacing.</t>
        </is>
      </c>
      <c r="G25" s="10" t="inlineStr">
        <is>
          <t>Medium</t>
        </is>
      </c>
      <c r="H25" s="10" t="inlineStr">
        <is>
          <t>QA</t>
        </is>
      </c>
      <c r="I25" s="10" t="inlineStr">
        <is>
          <t>Not Started</t>
        </is>
      </c>
      <c r="J25" s="30" t="n">
        <v>46167</v>
      </c>
      <c r="K25" s="30" t="n">
        <v>46167</v>
      </c>
      <c r="L25" s="31" t="n">
        <v>0.5</v>
      </c>
      <c r="M25" s="32">
        <f>IF(I25="Done",1,IF(I25="Review",0.8,IF(I25="In Progress",0.5,0)))</f>
        <v/>
      </c>
      <c r="N25" s="10" t="inlineStr">
        <is>
          <t>T020</t>
        </is>
      </c>
      <c r="O25" s="10" t="inlineStr">
        <is>
          <t>QA note</t>
        </is>
      </c>
      <c r="P25" s="10" t="str"/>
    </row>
    <row r="26" ht="45" customHeight="1" s="2">
      <c r="A26" s="10" t="inlineStr">
        <is>
          <t>T022</t>
        </is>
      </c>
      <c r="B26" s="10" t="inlineStr">
        <is>
          <t>Sprint 3</t>
        </is>
      </c>
      <c r="C26" s="10" t="inlineStr">
        <is>
          <t>Progress</t>
        </is>
      </c>
      <c r="D26" s="10" t="inlineStr">
        <is>
          <t>progress.js</t>
        </is>
      </c>
      <c r="E26" s="10" t="inlineStr">
        <is>
          <t>Tạo hàm markLessonComplete</t>
        </is>
      </c>
      <c r="F26" s="10" t="inlineStr">
        <is>
          <t>Lưu lessonId vào LocalStorage khi học viên bấm hoàn thành.</t>
        </is>
      </c>
      <c r="G26" s="10" t="inlineStr">
        <is>
          <t>High</t>
        </is>
      </c>
      <c r="H26" s="10" t="inlineStr">
        <is>
          <t>FE Dev</t>
        </is>
      </c>
      <c r="I26" s="10" t="inlineStr">
        <is>
          <t>Not Started</t>
        </is>
      </c>
      <c r="J26" s="30" t="n">
        <v>46168</v>
      </c>
      <c r="K26" s="30" t="n">
        <v>46168</v>
      </c>
      <c r="L26" s="31" t="n">
        <v>0.75</v>
      </c>
      <c r="M26" s="32">
        <f>IF(I26="Done",1,IF(I26="Review",0.8,IF(I26="In Progress",0.5,0)))</f>
        <v/>
      </c>
      <c r="N26" s="10" t="str"/>
      <c r="O26" s="10" t="inlineStr">
        <is>
          <t>markLessonComplete</t>
        </is>
      </c>
      <c r="P26" s="10" t="str"/>
    </row>
    <row r="27" ht="45" customHeight="1" s="2">
      <c r="A27" s="10" t="inlineStr">
        <is>
          <t>T023</t>
        </is>
      </c>
      <c r="B27" s="10" t="inlineStr">
        <is>
          <t>Sprint 3</t>
        </is>
      </c>
      <c r="C27" s="10" t="inlineStr">
        <is>
          <t>Progress</t>
        </is>
      </c>
      <c r="D27" s="10" t="inlineStr">
        <is>
          <t>progress.js</t>
        </is>
      </c>
      <c r="E27" s="10" t="inlineStr">
        <is>
          <t>Tạo hàm isLessonComplete</t>
        </is>
      </c>
      <c r="F27" s="10" t="inlineStr">
        <is>
          <t>Kiểm tra bài học đã hoàn thành chưa.</t>
        </is>
      </c>
      <c r="G27" s="10" t="inlineStr">
        <is>
          <t>High</t>
        </is>
      </c>
      <c r="H27" s="10" t="inlineStr">
        <is>
          <t>FE Dev</t>
        </is>
      </c>
      <c r="I27" s="10" t="inlineStr">
        <is>
          <t>Not Started</t>
        </is>
      </c>
      <c r="J27" s="30" t="n">
        <v>46169</v>
      </c>
      <c r="K27" s="30" t="n">
        <v>46169</v>
      </c>
      <c r="L27" s="31" t="n">
        <v>0.5</v>
      </c>
      <c r="M27" s="32">
        <f>IF(I27="Done",1,IF(I27="Review",0.8,IF(I27="In Progress",0.5,0)))</f>
        <v/>
      </c>
      <c r="N27" s="10" t="inlineStr">
        <is>
          <t>T022</t>
        </is>
      </c>
      <c r="O27" s="10" t="inlineStr">
        <is>
          <t>isLessonComplete</t>
        </is>
      </c>
      <c r="P27" s="10" t="str"/>
    </row>
    <row r="28" ht="45" customHeight="1" s="2">
      <c r="A28" s="10" t="inlineStr">
        <is>
          <t>T024</t>
        </is>
      </c>
      <c r="B28" s="10" t="inlineStr">
        <is>
          <t>Sprint 3</t>
        </is>
      </c>
      <c r="C28" s="10" t="inlineStr">
        <is>
          <t>Progress</t>
        </is>
      </c>
      <c r="D28" s="10" t="inlineStr">
        <is>
          <t>progress.js</t>
        </is>
      </c>
      <c r="E28" s="10" t="inlineStr">
        <is>
          <t>Tạo hàm getCompletedLessons</t>
        </is>
      </c>
      <c r="F28" s="10" t="inlineStr">
        <is>
          <t>Đọc danh sách bài đã hoàn thành từ LocalStorage.</t>
        </is>
      </c>
      <c r="G28" s="10" t="inlineStr">
        <is>
          <t>High</t>
        </is>
      </c>
      <c r="H28" s="10" t="inlineStr">
        <is>
          <t>FE Dev</t>
        </is>
      </c>
      <c r="I28" s="10" t="inlineStr">
        <is>
          <t>Not Started</t>
        </is>
      </c>
      <c r="J28" s="30" t="n">
        <v>46170</v>
      </c>
      <c r="K28" s="30" t="n">
        <v>46170</v>
      </c>
      <c r="L28" s="31" t="n">
        <v>0.5</v>
      </c>
      <c r="M28" s="32">
        <f>IF(I28="Done",1,IF(I28="Review",0.8,IF(I28="In Progress",0.5,0)))</f>
        <v/>
      </c>
      <c r="N28" s="10" t="inlineStr">
        <is>
          <t>T022</t>
        </is>
      </c>
      <c r="O28" s="10" t="inlineStr">
        <is>
          <t>getCompletedLessons</t>
        </is>
      </c>
      <c r="P28" s="10" t="str"/>
    </row>
    <row r="29" ht="45" customHeight="1" s="2">
      <c r="A29" s="10" t="inlineStr">
        <is>
          <t>T025</t>
        </is>
      </c>
      <c r="B29" s="10" t="inlineStr">
        <is>
          <t>Sprint 3</t>
        </is>
      </c>
      <c r="C29" s="10" t="inlineStr">
        <is>
          <t>Progress</t>
        </is>
      </c>
      <c r="D29" s="10" t="inlineStr">
        <is>
          <t>progress.js</t>
        </is>
      </c>
      <c r="E29" s="10" t="inlineStr">
        <is>
          <t>Tạo hàm calculateProgress</t>
        </is>
      </c>
      <c r="F29" s="10" t="inlineStr">
        <is>
          <t>Tính % hoàn thành dựa trên tổng lessonIds.</t>
        </is>
      </c>
      <c r="G29" s="10" t="inlineStr">
        <is>
          <t>High</t>
        </is>
      </c>
      <c r="H29" s="10" t="inlineStr">
        <is>
          <t>FE Dev</t>
        </is>
      </c>
      <c r="I29" s="10" t="inlineStr">
        <is>
          <t>Not Started</t>
        </is>
      </c>
      <c r="J29" s="30" t="n">
        <v>46171</v>
      </c>
      <c r="K29" s="30" t="n">
        <v>46171</v>
      </c>
      <c r="L29" s="31" t="n">
        <v>0.75</v>
      </c>
      <c r="M29" s="32">
        <f>IF(I29="Done",1,IF(I29="Review",0.8,IF(I29="In Progress",0.5,0)))</f>
        <v/>
      </c>
      <c r="N29" s="10" t="inlineStr">
        <is>
          <t>T023,T024</t>
        </is>
      </c>
      <c r="O29" s="10" t="inlineStr">
        <is>
          <t>calculateProgress</t>
        </is>
      </c>
      <c r="P29" s="10" t="str"/>
    </row>
    <row r="30" ht="45" customHeight="1" s="2">
      <c r="A30" s="10" t="inlineStr">
        <is>
          <t>T026</t>
        </is>
      </c>
      <c r="B30" s="10" t="inlineStr">
        <is>
          <t>Sprint 3</t>
        </is>
      </c>
      <c r="C30" s="10" t="inlineStr">
        <is>
          <t>Progress UI</t>
        </is>
      </c>
      <c r="D30" s="10" t="inlineStr">
        <is>
          <t>Lesson Page</t>
        </is>
      </c>
      <c r="E30" s="10" t="inlineStr">
        <is>
          <t>Gắn nút Đánh dấu đã học</t>
        </is>
      </c>
      <c r="F30" s="10" t="inlineStr">
        <is>
          <t>Button đổi trạng thái sau khi click, tránh click lặp.</t>
        </is>
      </c>
      <c r="G30" s="10" t="inlineStr">
        <is>
          <t>High</t>
        </is>
      </c>
      <c r="H30" s="10" t="inlineStr">
        <is>
          <t>FE Dev</t>
        </is>
      </c>
      <c r="I30" s="10" t="inlineStr">
        <is>
          <t>Not Started</t>
        </is>
      </c>
      <c r="J30" s="30" t="n">
        <v>46172</v>
      </c>
      <c r="K30" s="30" t="n">
        <v>46172</v>
      </c>
      <c r="L30" s="31" t="n">
        <v>0.75</v>
      </c>
      <c r="M30" s="32">
        <f>IF(I30="Done",1,IF(I30="Review",0.8,IF(I30="In Progress",0.5,0)))</f>
        <v/>
      </c>
      <c r="N30" s="10" t="inlineStr">
        <is>
          <t>T022,T020</t>
        </is>
      </c>
      <c r="O30" s="10" t="inlineStr">
        <is>
          <t>Complete button</t>
        </is>
      </c>
      <c r="P30" s="10" t="str"/>
    </row>
    <row r="31" ht="45" customHeight="1" s="2">
      <c r="A31" s="10" t="inlineStr">
        <is>
          <t>T027</t>
        </is>
      </c>
      <c r="B31" s="10" t="inlineStr">
        <is>
          <t>Sprint 3</t>
        </is>
      </c>
      <c r="C31" s="10" t="inlineStr">
        <is>
          <t>Progress UI</t>
        </is>
      </c>
      <c r="D31" s="10" t="inlineStr">
        <is>
          <t>Module Page</t>
        </is>
      </c>
      <c r="E31" s="10" t="inlineStr">
        <is>
          <t>Hiển thị progress module</t>
        </is>
      </c>
      <c r="F31" s="10" t="inlineStr">
        <is>
          <t>Ở trang module, tính số bài đã hoàn thành / tổng bài.</t>
        </is>
      </c>
      <c r="G31" s="10" t="inlineStr">
        <is>
          <t>High</t>
        </is>
      </c>
      <c r="H31" s="10" t="inlineStr">
        <is>
          <t>FE Dev</t>
        </is>
      </c>
      <c r="I31" s="10" t="inlineStr">
        <is>
          <t>Not Started</t>
        </is>
      </c>
      <c r="J31" s="30" t="n">
        <v>46173</v>
      </c>
      <c r="K31" s="30" t="n">
        <v>46173</v>
      </c>
      <c r="L31" s="31" t="n">
        <v>1</v>
      </c>
      <c r="M31" s="32">
        <f>IF(I31="Done",1,IF(I31="Review",0.8,IF(I31="In Progress",0.5,0)))</f>
        <v/>
      </c>
      <c r="N31" s="10" t="inlineStr">
        <is>
          <t>T025</t>
        </is>
      </c>
      <c r="O31" s="10" t="inlineStr">
        <is>
          <t>Module progress</t>
        </is>
      </c>
      <c r="P31" s="10" t="str"/>
    </row>
    <row r="32" ht="45" customHeight="1" s="2">
      <c r="A32" s="10" t="inlineStr">
        <is>
          <t>T028</t>
        </is>
      </c>
      <c r="B32" s="10" t="inlineStr">
        <is>
          <t>Sprint 3</t>
        </is>
      </c>
      <c r="C32" s="10" t="inlineStr">
        <is>
          <t>Progress UI</t>
        </is>
      </c>
      <c r="D32" s="10" t="inlineStr">
        <is>
          <t>Stage Page</t>
        </is>
      </c>
      <c r="E32" s="10" t="inlineStr">
        <is>
          <t>Hiển thị progress stage</t>
        </is>
      </c>
      <c r="F32" s="10" t="inlineStr">
        <is>
          <t>Ở Japanese Hub/Stage card, hiển thị % học tập.</t>
        </is>
      </c>
      <c r="G32" s="10" t="inlineStr">
        <is>
          <t>Medium</t>
        </is>
      </c>
      <c r="H32" s="10" t="inlineStr">
        <is>
          <t>FE Dev</t>
        </is>
      </c>
      <c r="I32" s="10" t="inlineStr">
        <is>
          <t>Not Started</t>
        </is>
      </c>
      <c r="J32" s="30" t="n">
        <v>46174</v>
      </c>
      <c r="K32" s="30" t="n">
        <v>46174</v>
      </c>
      <c r="L32" s="31" t="n">
        <v>1</v>
      </c>
      <c r="M32" s="32">
        <f>IF(I32="Done",1,IF(I32="Review",0.8,IF(I32="In Progress",0.5,0)))</f>
        <v/>
      </c>
      <c r="N32" s="10" t="inlineStr">
        <is>
          <t>T025,T027</t>
        </is>
      </c>
      <c r="O32" s="10" t="inlineStr">
        <is>
          <t>Stage progress</t>
        </is>
      </c>
      <c r="P32" s="10" t="str"/>
    </row>
    <row r="33" ht="45" customHeight="1" s="2">
      <c r="A33" s="10" t="inlineStr">
        <is>
          <t>T029</t>
        </is>
      </c>
      <c r="B33" s="10" t="inlineStr">
        <is>
          <t>Sprint 3</t>
        </is>
      </c>
      <c r="C33" s="10" t="inlineStr">
        <is>
          <t>Progress</t>
        </is>
      </c>
      <c r="D33" s="10" t="inlineStr">
        <is>
          <t>Reset Progress</t>
        </is>
      </c>
      <c r="E33" s="10" t="inlineStr">
        <is>
          <t>Tạo nút reset progress</t>
        </is>
      </c>
      <c r="F33" s="10" t="inlineStr">
        <is>
          <t>Cho phép xóa tiến độ local để test hoặc học lại.</t>
        </is>
      </c>
      <c r="G33" s="10" t="inlineStr">
        <is>
          <t>Low</t>
        </is>
      </c>
      <c r="H33" s="10" t="inlineStr">
        <is>
          <t>FE Dev</t>
        </is>
      </c>
      <c r="I33" s="10" t="inlineStr">
        <is>
          <t>Not Started</t>
        </is>
      </c>
      <c r="J33" s="30" t="n">
        <v>46175</v>
      </c>
      <c r="K33" s="30" t="n">
        <v>46175</v>
      </c>
      <c r="L33" s="31" t="n">
        <v>0.5</v>
      </c>
      <c r="M33" s="32">
        <f>IF(I33="Done",1,IF(I33="Review",0.8,IF(I33="In Progress",0.5,0)))</f>
        <v/>
      </c>
      <c r="N33" s="10" t="inlineStr">
        <is>
          <t>T024</t>
        </is>
      </c>
      <c r="O33" s="10" t="inlineStr">
        <is>
          <t>Reset button</t>
        </is>
      </c>
      <c r="P33" s="10" t="str"/>
    </row>
    <row r="34" ht="45" customHeight="1" s="2">
      <c r="A34" s="10" t="inlineStr">
        <is>
          <t>T030</t>
        </is>
      </c>
      <c r="B34" s="10" t="inlineStr">
        <is>
          <t>Sprint 3</t>
        </is>
      </c>
      <c r="C34" s="10" t="inlineStr">
        <is>
          <t>Continue</t>
        </is>
      </c>
      <c r="D34" s="10" t="inlineStr">
        <is>
          <t>Continue Learning</t>
        </is>
      </c>
      <c r="E34" s="10" t="inlineStr">
        <is>
          <t>Gợi ý bài tiếp theo</t>
        </is>
      </c>
      <c r="F34" s="10" t="inlineStr">
        <is>
          <t>Tự tìm lesson đầu tiên chưa hoàn thành trong Stage 2.</t>
        </is>
      </c>
      <c r="G34" s="10" t="inlineStr">
        <is>
          <t>Medium</t>
        </is>
      </c>
      <c r="H34" s="10" t="inlineStr">
        <is>
          <t>FE Dev</t>
        </is>
      </c>
      <c r="I34" s="10" t="inlineStr">
        <is>
          <t>Not Started</t>
        </is>
      </c>
      <c r="J34" s="30" t="n">
        <v>46176</v>
      </c>
      <c r="K34" s="30" t="n">
        <v>46176</v>
      </c>
      <c r="L34" s="31" t="n">
        <v>1</v>
      </c>
      <c r="M34" s="32">
        <f>IF(I34="Done",1,IF(I34="Review",0.8,IF(I34="In Progress",0.5,0)))</f>
        <v/>
      </c>
      <c r="N34" s="10" t="inlineStr">
        <is>
          <t>T024</t>
        </is>
      </c>
      <c r="O34" s="10" t="inlineStr">
        <is>
          <t>Continue CTA</t>
        </is>
      </c>
      <c r="P34" s="10" t="str"/>
    </row>
    <row r="35" ht="45" customHeight="1" s="2">
      <c r="A35" s="10" t="inlineStr">
        <is>
          <t>T031</t>
        </is>
      </c>
      <c r="B35" s="10" t="inlineStr">
        <is>
          <t>Sprint 3</t>
        </is>
      </c>
      <c r="C35" s="10" t="inlineStr">
        <is>
          <t>QA</t>
        </is>
      </c>
      <c r="D35" s="10" t="inlineStr">
        <is>
          <t>Progress QA</t>
        </is>
      </c>
      <c r="E35" s="10" t="inlineStr">
        <is>
          <t>Test LocalStorage</t>
        </is>
      </c>
      <c r="F35" s="10" t="inlineStr">
        <is>
          <t>Test refresh page, close/open browser, reset progress.</t>
        </is>
      </c>
      <c r="G35" s="10" t="inlineStr">
        <is>
          <t>Medium</t>
        </is>
      </c>
      <c r="H35" s="10" t="inlineStr">
        <is>
          <t>QA</t>
        </is>
      </c>
      <c r="I35" s="10" t="inlineStr">
        <is>
          <t>Not Started</t>
        </is>
      </c>
      <c r="J35" s="30" t="n">
        <v>46177</v>
      </c>
      <c r="K35" s="30" t="n">
        <v>46177</v>
      </c>
      <c r="L35" s="31" t="n">
        <v>0.5</v>
      </c>
      <c r="M35" s="32">
        <f>IF(I35="Done",1,IF(I35="Review",0.8,IF(I35="In Progress",0.5,0)))</f>
        <v/>
      </c>
      <c r="N35" s="10" t="inlineStr">
        <is>
          <t>T026,T027,T028,T029,T030</t>
        </is>
      </c>
      <c r="O35" s="10" t="inlineStr">
        <is>
          <t>QA note</t>
        </is>
      </c>
      <c r="P35" s="10" t="str"/>
    </row>
    <row r="36" ht="45" customHeight="1" s="2">
      <c r="A36" s="10" t="inlineStr">
        <is>
          <t>T032</t>
        </is>
      </c>
      <c r="B36" s="10" t="inlineStr">
        <is>
          <t>Sprint 4</t>
        </is>
      </c>
      <c r="C36" s="10" t="inlineStr">
        <is>
          <t>Quiz</t>
        </is>
      </c>
      <c r="D36" s="10" t="inlineStr">
        <is>
          <t>quiz.js</t>
        </is>
      </c>
      <c r="E36" s="10" t="inlineStr">
        <is>
          <t>Tạo initQuiz</t>
        </is>
      </c>
      <c r="F36" s="10" t="inlineStr">
        <is>
          <t>Render câu hỏi trắc nghiệm từ data JS.</t>
        </is>
      </c>
      <c r="G36" s="10" t="inlineStr">
        <is>
          <t>High</t>
        </is>
      </c>
      <c r="H36" s="10" t="inlineStr">
        <is>
          <t>FE Dev</t>
        </is>
      </c>
      <c r="I36" s="10" t="inlineStr">
        <is>
          <t>Not Started</t>
        </is>
      </c>
      <c r="J36" s="30" t="n">
        <v>46178</v>
      </c>
      <c r="K36" s="30" t="n">
        <v>46178</v>
      </c>
      <c r="L36" s="31" t="n">
        <v>1</v>
      </c>
      <c r="M36" s="32">
        <f>IF(I36="Done",1,IF(I36="Review",0.8,IF(I36="In Progress",0.5,0)))</f>
        <v/>
      </c>
      <c r="N36" s="10" t="str"/>
      <c r="O36" s="10" t="inlineStr">
        <is>
          <t>initQuiz</t>
        </is>
      </c>
      <c r="P36" s="10" t="str"/>
    </row>
    <row r="37" ht="45" customHeight="1" s="2">
      <c r="A37" s="10" t="inlineStr">
        <is>
          <t>T033</t>
        </is>
      </c>
      <c r="B37" s="10" t="inlineStr">
        <is>
          <t>Sprint 4</t>
        </is>
      </c>
      <c r="C37" s="10" t="inlineStr">
        <is>
          <t>Quiz</t>
        </is>
      </c>
      <c r="D37" s="10" t="inlineStr">
        <is>
          <t>quiz.js</t>
        </is>
      </c>
      <c r="E37" s="10" t="inlineStr">
        <is>
          <t>Tạo selectAnswer</t>
        </is>
      </c>
      <c r="F37" s="10" t="inlineStr">
        <is>
          <t>Bắt sự kiện chọn đáp án, khóa đáp án sau khi chọn.</t>
        </is>
      </c>
      <c r="G37" s="10" t="inlineStr">
        <is>
          <t>High</t>
        </is>
      </c>
      <c r="H37" s="10" t="inlineStr">
        <is>
          <t>FE Dev</t>
        </is>
      </c>
      <c r="I37" s="10" t="inlineStr">
        <is>
          <t>Not Started</t>
        </is>
      </c>
      <c r="J37" s="30" t="n">
        <v>46179</v>
      </c>
      <c r="K37" s="30" t="n">
        <v>46179</v>
      </c>
      <c r="L37" s="31" t="n">
        <v>0.75</v>
      </c>
      <c r="M37" s="32">
        <f>IF(I37="Done",1,IF(I37="Review",0.8,IF(I37="In Progress",0.5,0)))</f>
        <v/>
      </c>
      <c r="N37" s="10" t="inlineStr">
        <is>
          <t>T032</t>
        </is>
      </c>
      <c r="O37" s="10" t="inlineStr">
        <is>
          <t>selectAnswer</t>
        </is>
      </c>
      <c r="P37" s="10" t="str"/>
    </row>
    <row r="38" ht="45" customHeight="1" s="2">
      <c r="A38" s="10" t="inlineStr">
        <is>
          <t>T034</t>
        </is>
      </c>
      <c r="B38" s="10" t="inlineStr">
        <is>
          <t>Sprint 4</t>
        </is>
      </c>
      <c r="C38" s="10" t="inlineStr">
        <is>
          <t>Quiz</t>
        </is>
      </c>
      <c r="D38" s="10" t="inlineStr">
        <is>
          <t>quiz.js</t>
        </is>
      </c>
      <c r="E38" s="10" t="inlineStr">
        <is>
          <t>Tạo instant feedback</t>
        </is>
      </c>
      <c r="F38" s="10" t="inlineStr">
        <is>
          <t>Hiển thị đúng/sai và giải thích ngắn ngay sau khi chọn.</t>
        </is>
      </c>
      <c r="G38" s="10" t="inlineStr">
        <is>
          <t>High</t>
        </is>
      </c>
      <c r="H38" s="10" t="inlineStr">
        <is>
          <t>FE Dev</t>
        </is>
      </c>
      <c r="I38" s="10" t="inlineStr">
        <is>
          <t>Not Started</t>
        </is>
      </c>
      <c r="J38" s="30" t="n">
        <v>46180</v>
      </c>
      <c r="K38" s="30" t="n">
        <v>46180</v>
      </c>
      <c r="L38" s="31" t="n">
        <v>0.75</v>
      </c>
      <c r="M38" s="32">
        <f>IF(I38="Done",1,IF(I38="Review",0.8,IF(I38="In Progress",0.5,0)))</f>
        <v/>
      </c>
      <c r="N38" s="10" t="inlineStr">
        <is>
          <t>T033</t>
        </is>
      </c>
      <c r="O38" s="10" t="inlineStr">
        <is>
          <t>Feedback</t>
        </is>
      </c>
      <c r="P38" s="10" t="str"/>
    </row>
    <row r="39" ht="45" customHeight="1" s="2">
      <c r="A39" s="10" t="inlineStr">
        <is>
          <t>T035</t>
        </is>
      </c>
      <c r="B39" s="10" t="inlineStr">
        <is>
          <t>Sprint 4</t>
        </is>
      </c>
      <c r="C39" s="10" t="inlineStr">
        <is>
          <t>Quiz</t>
        </is>
      </c>
      <c r="D39" s="10" t="inlineStr">
        <is>
          <t>quiz.js</t>
        </is>
      </c>
      <c r="E39" s="10" t="inlineStr">
        <is>
          <t>Tạo calculateQuizScore</t>
        </is>
      </c>
      <c r="F39" s="10" t="inlineStr">
        <is>
          <t>Tính điểm quiz theo số câu đúng.</t>
        </is>
      </c>
      <c r="G39" s="10" t="inlineStr">
        <is>
          <t>High</t>
        </is>
      </c>
      <c r="H39" s="10" t="inlineStr">
        <is>
          <t>FE Dev</t>
        </is>
      </c>
      <c r="I39" s="10" t="inlineStr">
        <is>
          <t>Not Started</t>
        </is>
      </c>
      <c r="J39" s="30" t="n">
        <v>46181</v>
      </c>
      <c r="K39" s="30" t="n">
        <v>46181</v>
      </c>
      <c r="L39" s="31" t="n">
        <v>0.5</v>
      </c>
      <c r="M39" s="32">
        <f>IF(I39="Done",1,IF(I39="Review",0.8,IF(I39="In Progress",0.5,0)))</f>
        <v/>
      </c>
      <c r="N39" s="10" t="inlineStr">
        <is>
          <t>T033</t>
        </is>
      </c>
      <c r="O39" s="10" t="inlineStr">
        <is>
          <t>Score function</t>
        </is>
      </c>
      <c r="P39" s="10" t="str"/>
    </row>
    <row r="40" ht="45" customHeight="1" s="2">
      <c r="A40" s="10" t="inlineStr">
        <is>
          <t>T036</t>
        </is>
      </c>
      <c r="B40" s="10" t="inlineStr">
        <is>
          <t>Sprint 4</t>
        </is>
      </c>
      <c r="C40" s="10" t="inlineStr">
        <is>
          <t>Quiz</t>
        </is>
      </c>
      <c r="D40" s="10" t="inlineStr">
        <is>
          <t>quiz.js</t>
        </is>
      </c>
      <c r="E40" s="10" t="inlineStr">
        <is>
          <t>Tạo saveQuizScore</t>
        </is>
      </c>
      <c r="F40" s="10" t="inlineStr">
        <is>
          <t>Lưu score quiz vào LocalStorage.</t>
        </is>
      </c>
      <c r="G40" s="10" t="inlineStr">
        <is>
          <t>Medium</t>
        </is>
      </c>
      <c r="H40" s="10" t="inlineStr">
        <is>
          <t>FE Dev</t>
        </is>
      </c>
      <c r="I40" s="10" t="inlineStr">
        <is>
          <t>Not Started</t>
        </is>
      </c>
      <c r="J40" s="30" t="n">
        <v>46182</v>
      </c>
      <c r="K40" s="30" t="n">
        <v>46182</v>
      </c>
      <c r="L40" s="31" t="n">
        <v>0.5</v>
      </c>
      <c r="M40" s="32">
        <f>IF(I40="Done",1,IF(I40="Review",0.8,IF(I40="In Progress",0.5,0)))</f>
        <v/>
      </c>
      <c r="N40" s="10" t="inlineStr">
        <is>
          <t>T035</t>
        </is>
      </c>
      <c r="O40" s="10" t="inlineStr">
        <is>
          <t>Save score</t>
        </is>
      </c>
      <c r="P40" s="10" t="str"/>
    </row>
    <row r="41" ht="45" customHeight="1" s="2">
      <c r="A41" s="10" t="inlineStr">
        <is>
          <t>T037</t>
        </is>
      </c>
      <c r="B41" s="10" t="inlineStr">
        <is>
          <t>Sprint 4</t>
        </is>
      </c>
      <c r="C41" s="10" t="inlineStr">
        <is>
          <t>Quiz</t>
        </is>
      </c>
      <c r="D41" s="10" t="inlineStr">
        <is>
          <t>quiz.js</t>
        </is>
      </c>
      <c r="E41" s="10" t="inlineStr">
        <is>
          <t>Tạo retryQuiz</t>
        </is>
      </c>
      <c r="F41" s="10" t="inlineStr">
        <is>
          <t>Cho phép làm lại quiz.</t>
        </is>
      </c>
      <c r="G41" s="10" t="inlineStr">
        <is>
          <t>Medium</t>
        </is>
      </c>
      <c r="H41" s="10" t="inlineStr">
        <is>
          <t>FE Dev</t>
        </is>
      </c>
      <c r="I41" s="10" t="inlineStr">
        <is>
          <t>Not Started</t>
        </is>
      </c>
      <c r="J41" s="30" t="n">
        <v>46183</v>
      </c>
      <c r="K41" s="30" t="n">
        <v>46183</v>
      </c>
      <c r="L41" s="31" t="n">
        <v>0.5</v>
      </c>
      <c r="M41" s="32">
        <f>IF(I41="Done",1,IF(I41="Review",0.8,IF(I41="In Progress",0.5,0)))</f>
        <v/>
      </c>
      <c r="N41" s="10" t="inlineStr">
        <is>
          <t>T036</t>
        </is>
      </c>
      <c r="O41" s="10" t="inlineStr">
        <is>
          <t>Retry quiz</t>
        </is>
      </c>
      <c r="P41" s="10" t="str"/>
    </row>
    <row r="42" ht="45" customHeight="1" s="2">
      <c r="A42" s="10" t="inlineStr">
        <is>
          <t>T038</t>
        </is>
      </c>
      <c r="B42" s="10" t="inlineStr">
        <is>
          <t>Sprint 4</t>
        </is>
      </c>
      <c r="C42" s="10" t="inlineStr">
        <is>
          <t>Quiz UI</t>
        </is>
      </c>
      <c r="D42" s="10" t="inlineStr">
        <is>
          <t>Lesson 01 Quiz</t>
        </is>
      </c>
      <c r="E42" s="10" t="inlineStr">
        <is>
          <t>Gắn quiz 3 câu vào lesson 01</t>
        </is>
      </c>
      <c r="F42" s="10" t="inlineStr">
        <is>
          <t>Quiz kiểm tra mẫu câu chào hỏi khi join dự án.</t>
        </is>
      </c>
      <c r="G42" s="10" t="inlineStr">
        <is>
          <t>High</t>
        </is>
      </c>
      <c r="H42" s="10" t="inlineStr">
        <is>
          <t>Content</t>
        </is>
      </c>
      <c r="I42" s="10" t="inlineStr">
        <is>
          <t>Not Started</t>
        </is>
      </c>
      <c r="J42" s="30" t="n">
        <v>46184</v>
      </c>
      <c r="K42" s="30" t="n">
        <v>46184</v>
      </c>
      <c r="L42" s="31" t="n">
        <v>0.75</v>
      </c>
      <c r="M42" s="32">
        <f>IF(I42="Done",1,IF(I42="Review",0.8,IF(I42="In Progress",0.5,0)))</f>
        <v/>
      </c>
      <c r="N42" s="10" t="inlineStr">
        <is>
          <t>T020,T032</t>
        </is>
      </c>
      <c r="O42" s="10" t="inlineStr">
        <is>
          <t>Lesson quiz content</t>
        </is>
      </c>
      <c r="P42" s="10" t="str"/>
    </row>
    <row r="43" ht="45" customHeight="1" s="2">
      <c r="A43" s="10" t="inlineStr">
        <is>
          <t>T039</t>
        </is>
      </c>
      <c r="B43" s="10" t="inlineStr">
        <is>
          <t>Sprint 4</t>
        </is>
      </c>
      <c r="C43" s="10" t="inlineStr">
        <is>
          <t>Practice</t>
        </is>
      </c>
      <c r="D43" s="10" t="inlineStr">
        <is>
          <t>Fill in blank</t>
        </is>
      </c>
      <c r="E43" s="10" t="inlineStr">
        <is>
          <t>Code checkBlankAnswer</t>
        </is>
      </c>
      <c r="F43" s="10" t="inlineStr">
        <is>
          <t>Kiểm tra câu trả lời điền từ, ignore khoảng trắng cơ bản.</t>
        </is>
      </c>
      <c r="G43" s="10" t="inlineStr">
        <is>
          <t>High</t>
        </is>
      </c>
      <c r="H43" s="10" t="inlineStr">
        <is>
          <t>FE Dev</t>
        </is>
      </c>
      <c r="I43" s="10" t="inlineStr">
        <is>
          <t>Not Started</t>
        </is>
      </c>
      <c r="J43" s="30" t="n">
        <v>46185</v>
      </c>
      <c r="K43" s="30" t="n">
        <v>46185</v>
      </c>
      <c r="L43" s="31" t="n">
        <v>0.75</v>
      </c>
      <c r="M43" s="32">
        <f>IF(I43="Done",1,IF(I43="Review",0.8,IF(I43="In Progress",0.5,0)))</f>
        <v/>
      </c>
      <c r="N43" s="10" t="inlineStr">
        <is>
          <t>T017</t>
        </is>
      </c>
      <c r="O43" s="10" t="inlineStr">
        <is>
          <t>Practice JS</t>
        </is>
      </c>
      <c r="P43" s="10" t="str"/>
    </row>
    <row r="44" ht="45" customHeight="1" s="2">
      <c r="A44" s="10" t="inlineStr">
        <is>
          <t>T040</t>
        </is>
      </c>
      <c r="B44" s="10" t="inlineStr">
        <is>
          <t>Sprint 4</t>
        </is>
      </c>
      <c r="C44" s="10" t="inlineStr">
        <is>
          <t>Practice</t>
        </is>
      </c>
      <c r="D44" s="10" t="inlineStr">
        <is>
          <t>Lesson 01 Practice</t>
        </is>
      </c>
      <c r="E44" s="10" t="inlineStr">
        <is>
          <t>Gắn fill-in-the-blank vào lesson 01</t>
        </is>
      </c>
      <c r="F44" s="10" t="inlineStr">
        <is>
          <t>Điền mẫu câu như お世話になります / よろしくお願いいたします.</t>
        </is>
      </c>
      <c r="G44" s="10" t="inlineStr">
        <is>
          <t>Medium</t>
        </is>
      </c>
      <c r="H44" s="10" t="inlineStr">
        <is>
          <t>Content</t>
        </is>
      </c>
      <c r="I44" s="10" t="inlineStr">
        <is>
          <t>Not Started</t>
        </is>
      </c>
      <c r="J44" s="30" t="n">
        <v>46186</v>
      </c>
      <c r="K44" s="30" t="n">
        <v>46186</v>
      </c>
      <c r="L44" s="31" t="n">
        <v>0.5</v>
      </c>
      <c r="M44" s="32">
        <f>IF(I44="Done",1,IF(I44="Review",0.8,IF(I44="In Progress",0.5,0)))</f>
        <v/>
      </c>
      <c r="N44" s="10" t="inlineStr">
        <is>
          <t>T039</t>
        </is>
      </c>
      <c r="O44" s="10" t="inlineStr">
        <is>
          <t>Practice content</t>
        </is>
      </c>
      <c r="P44" s="10" t="str"/>
    </row>
    <row r="45" ht="45" customHeight="1" s="2">
      <c r="A45" s="10" t="inlineStr">
        <is>
          <t>T041</t>
        </is>
      </c>
      <c r="B45" s="10" t="inlineStr">
        <is>
          <t>Sprint 4</t>
        </is>
      </c>
      <c r="C45" s="10" t="inlineStr">
        <is>
          <t>QA</t>
        </is>
      </c>
      <c r="D45" s="10" t="inlineStr">
        <is>
          <t>Quiz/Practice QA</t>
        </is>
      </c>
      <c r="E45" s="10" t="inlineStr">
        <is>
          <t>Test quiz và practice</t>
        </is>
      </c>
      <c r="F45" s="10" t="inlineStr">
        <is>
          <t>Test điểm, feedback, retry, lưu score sau refresh.</t>
        </is>
      </c>
      <c r="G45" s="10" t="inlineStr">
        <is>
          <t>Medium</t>
        </is>
      </c>
      <c r="H45" s="10" t="inlineStr">
        <is>
          <t>QA</t>
        </is>
      </c>
      <c r="I45" s="10" t="inlineStr">
        <is>
          <t>Not Started</t>
        </is>
      </c>
      <c r="J45" s="30" t="n">
        <v>46187</v>
      </c>
      <c r="K45" s="30" t="n">
        <v>46187</v>
      </c>
      <c r="L45" s="31" t="n">
        <v>0.5</v>
      </c>
      <c r="M45" s="32">
        <f>IF(I45="Done",1,IF(I45="Review",0.8,IF(I45="In Progress",0.5,0)))</f>
        <v/>
      </c>
      <c r="N45" s="10" t="inlineStr">
        <is>
          <t>T038,T039,T040</t>
        </is>
      </c>
      <c r="O45" s="10" t="inlineStr">
        <is>
          <t>QA note</t>
        </is>
      </c>
      <c r="P45" s="10" t="str"/>
    </row>
    <row r="46" ht="45" customHeight="1" s="2">
      <c r="A46" s="10" t="inlineStr">
        <is>
          <t>T042</t>
        </is>
      </c>
      <c r="B46" s="10" t="inlineStr">
        <is>
          <t>Sprint 5</t>
        </is>
      </c>
      <c r="C46" s="10" t="inlineStr">
        <is>
          <t>Vocabulary</t>
        </is>
      </c>
      <c r="D46" s="10" t="inlineStr">
        <is>
          <t>vocabulary/index.html</t>
        </is>
      </c>
      <c r="E46" s="10" t="inlineStr">
        <is>
          <t>Tạo vocabulary hub</t>
        </is>
      </c>
      <c r="F46" s="10" t="inlineStr">
        <is>
          <t>Trang tổng hợp từ vựng theo stage, module, chủ đề.</t>
        </is>
      </c>
      <c r="G46" s="10" t="inlineStr">
        <is>
          <t>High</t>
        </is>
      </c>
      <c r="H46" s="10" t="inlineStr">
        <is>
          <t>FE Dev</t>
        </is>
      </c>
      <c r="I46" s="10" t="inlineStr">
        <is>
          <t>Not Started</t>
        </is>
      </c>
      <c r="J46" s="30" t="n">
        <v>46188</v>
      </c>
      <c r="K46" s="30" t="n">
        <v>46188</v>
      </c>
      <c r="L46" s="31" t="n">
        <v>1</v>
      </c>
      <c r="M46" s="32">
        <f>IF(I46="Done",1,IF(I46="Review",0.8,IF(I46="In Progress",0.5,0)))</f>
        <v/>
      </c>
      <c r="N46" s="10" t="str"/>
      <c r="O46" s="10" t="inlineStr">
        <is>
          <t>Vocabulary hub</t>
        </is>
      </c>
      <c r="P46" s="10" t="str"/>
    </row>
    <row r="47" ht="45" customHeight="1" s="2">
      <c r="A47" s="10" t="inlineStr">
        <is>
          <t>T043</t>
        </is>
      </c>
      <c r="B47" s="10" t="inlineStr">
        <is>
          <t>Sprint 5</t>
        </is>
      </c>
      <c r="C47" s="10" t="inlineStr">
        <is>
          <t>Flashcard</t>
        </is>
      </c>
      <c r="D47" s="10" t="inlineStr">
        <is>
          <t>flashcard.js</t>
        </is>
      </c>
      <c r="E47" s="10" t="inlineStr">
        <is>
          <t>Tạo initFlashcards</t>
        </is>
      </c>
      <c r="F47" s="10" t="inlineStr">
        <is>
          <t>Render flashcard từ data JS.</t>
        </is>
      </c>
      <c r="G47" s="10" t="inlineStr">
        <is>
          <t>High</t>
        </is>
      </c>
      <c r="H47" s="10" t="inlineStr">
        <is>
          <t>FE Dev</t>
        </is>
      </c>
      <c r="I47" s="10" t="inlineStr">
        <is>
          <t>Not Started</t>
        </is>
      </c>
      <c r="J47" s="30" t="n">
        <v>46189</v>
      </c>
      <c r="K47" s="30" t="n">
        <v>46189</v>
      </c>
      <c r="L47" s="31" t="n">
        <v>1</v>
      </c>
      <c r="M47" s="32">
        <f>IF(I47="Done",1,IF(I47="Review",0.8,IF(I47="In Progress",0.5,0)))</f>
        <v/>
      </c>
      <c r="N47" s="10" t="inlineStr">
        <is>
          <t>T042</t>
        </is>
      </c>
      <c r="O47" s="10" t="inlineStr">
        <is>
          <t>initFlashcards</t>
        </is>
      </c>
      <c r="P47" s="10" t="str"/>
    </row>
    <row r="48" ht="45" customHeight="1" s="2">
      <c r="A48" s="10" t="inlineStr">
        <is>
          <t>T044</t>
        </is>
      </c>
      <c r="B48" s="10" t="inlineStr">
        <is>
          <t>Sprint 5</t>
        </is>
      </c>
      <c r="C48" s="10" t="inlineStr">
        <is>
          <t>Flashcard</t>
        </is>
      </c>
      <c r="D48" s="10" t="inlineStr">
        <is>
          <t>flashcard.js</t>
        </is>
      </c>
      <c r="E48" s="10" t="inlineStr">
        <is>
          <t>Tạo flipCard</t>
        </is>
      </c>
      <c r="F48" s="10" t="inlineStr">
        <is>
          <t>Lật Nhật ↔ Việt.</t>
        </is>
      </c>
      <c r="G48" s="10" t="inlineStr">
        <is>
          <t>High</t>
        </is>
      </c>
      <c r="H48" s="10" t="inlineStr">
        <is>
          <t>FE Dev</t>
        </is>
      </c>
      <c r="I48" s="10" t="inlineStr">
        <is>
          <t>Not Started</t>
        </is>
      </c>
      <c r="J48" s="30" t="n">
        <v>46190</v>
      </c>
      <c r="K48" s="30" t="n">
        <v>46190</v>
      </c>
      <c r="L48" s="31" t="n">
        <v>0.5</v>
      </c>
      <c r="M48" s="32">
        <f>IF(I48="Done",1,IF(I48="Review",0.8,IF(I48="In Progress",0.5,0)))</f>
        <v/>
      </c>
      <c r="N48" s="10" t="inlineStr">
        <is>
          <t>T043</t>
        </is>
      </c>
      <c r="O48" s="10" t="inlineStr">
        <is>
          <t>flipCard</t>
        </is>
      </c>
      <c r="P48" s="10" t="str"/>
    </row>
    <row r="49" ht="45" customHeight="1" s="2">
      <c r="A49" s="10" t="inlineStr">
        <is>
          <t>T045</t>
        </is>
      </c>
      <c r="B49" s="10" t="inlineStr">
        <is>
          <t>Sprint 5</t>
        </is>
      </c>
      <c r="C49" s="10" t="inlineStr">
        <is>
          <t>Flashcard</t>
        </is>
      </c>
      <c r="D49" s="10" t="inlineStr">
        <is>
          <t>flashcard.js</t>
        </is>
      </c>
      <c r="E49" s="10" t="inlineStr">
        <is>
          <t>Tạo markWordKnown</t>
        </is>
      </c>
      <c r="F49" s="10" t="inlineStr">
        <is>
          <t>Đánh dấu từ đã nhớ vào LocalStorage.</t>
        </is>
      </c>
      <c r="G49" s="10" t="inlineStr">
        <is>
          <t>Medium</t>
        </is>
      </c>
      <c r="H49" s="10" t="inlineStr">
        <is>
          <t>FE Dev</t>
        </is>
      </c>
      <c r="I49" s="10" t="inlineStr">
        <is>
          <t>Not Started</t>
        </is>
      </c>
      <c r="J49" s="30" t="n">
        <v>46191</v>
      </c>
      <c r="K49" s="30" t="n">
        <v>46191</v>
      </c>
      <c r="L49" s="31" t="n">
        <v>0.5</v>
      </c>
      <c r="M49" s="32">
        <f>IF(I49="Done",1,IF(I49="Review",0.8,IF(I49="In Progress",0.5,0)))</f>
        <v/>
      </c>
      <c r="N49" s="10" t="inlineStr">
        <is>
          <t>T043</t>
        </is>
      </c>
      <c r="O49" s="10" t="inlineStr">
        <is>
          <t>Known words</t>
        </is>
      </c>
      <c r="P49" s="10" t="str"/>
    </row>
    <row r="50" ht="45" customHeight="1" s="2">
      <c r="A50" s="10" t="inlineStr">
        <is>
          <t>T046</t>
        </is>
      </c>
      <c r="B50" s="10" t="inlineStr">
        <is>
          <t>Sprint 5</t>
        </is>
      </c>
      <c r="C50" s="10" t="inlineStr">
        <is>
          <t>Flashcard</t>
        </is>
      </c>
      <c r="D50" s="10" t="inlineStr">
        <is>
          <t>flashcard.js</t>
        </is>
      </c>
      <c r="E50" s="10" t="inlineStr">
        <is>
          <t>Tạo markWordDifficult</t>
        </is>
      </c>
      <c r="F50" s="10" t="inlineStr">
        <is>
          <t>Đánh dấu từ khó cần ôn lại.</t>
        </is>
      </c>
      <c r="G50" s="10" t="inlineStr">
        <is>
          <t>Medium</t>
        </is>
      </c>
      <c r="H50" s="10" t="inlineStr">
        <is>
          <t>FE Dev</t>
        </is>
      </c>
      <c r="I50" s="10" t="inlineStr">
        <is>
          <t>Not Started</t>
        </is>
      </c>
      <c r="J50" s="30" t="n">
        <v>46192</v>
      </c>
      <c r="K50" s="30" t="n">
        <v>46192</v>
      </c>
      <c r="L50" s="31" t="n">
        <v>0.5</v>
      </c>
      <c r="M50" s="32">
        <f>IF(I50="Done",1,IF(I50="Review",0.8,IF(I50="In Progress",0.5,0)))</f>
        <v/>
      </c>
      <c r="N50" s="10" t="inlineStr">
        <is>
          <t>T043</t>
        </is>
      </c>
      <c r="O50" s="10" t="inlineStr">
        <is>
          <t>Difficult words</t>
        </is>
      </c>
      <c r="P50" s="10" t="str"/>
    </row>
    <row r="51" ht="45" customHeight="1" s="2">
      <c r="A51" s="10" t="inlineStr">
        <is>
          <t>T047</t>
        </is>
      </c>
      <c r="B51" s="10" t="inlineStr">
        <is>
          <t>Sprint 5</t>
        </is>
      </c>
      <c r="C51" s="10" t="inlineStr">
        <is>
          <t>Flashcard</t>
        </is>
      </c>
      <c r="D51" s="10" t="inlineStr">
        <is>
          <t>Review Words</t>
        </is>
      </c>
      <c r="E51" s="10" t="inlineStr">
        <is>
          <t>Tạo danh sách từ cần ôn</t>
        </is>
      </c>
      <c r="F51" s="10" t="inlineStr">
        <is>
          <t>Lọc các từ đã đánh dấu difficult.</t>
        </is>
      </c>
      <c r="G51" s="10" t="inlineStr">
        <is>
          <t>Medium</t>
        </is>
      </c>
      <c r="H51" s="10" t="inlineStr">
        <is>
          <t>FE Dev</t>
        </is>
      </c>
      <c r="I51" s="10" t="inlineStr">
        <is>
          <t>Not Started</t>
        </is>
      </c>
      <c r="J51" s="30" t="n">
        <v>46193</v>
      </c>
      <c r="K51" s="30" t="n">
        <v>46193</v>
      </c>
      <c r="L51" s="31" t="n">
        <v>0.75</v>
      </c>
      <c r="M51" s="32">
        <f>IF(I51="Done",1,IF(I51="Review",0.8,IF(I51="In Progress",0.5,0)))</f>
        <v/>
      </c>
      <c r="N51" s="10" t="inlineStr">
        <is>
          <t>T046</t>
        </is>
      </c>
      <c r="O51" s="10" t="inlineStr">
        <is>
          <t>Review list</t>
        </is>
      </c>
      <c r="P51" s="10" t="str"/>
    </row>
    <row r="52" ht="45" customHeight="1" s="2">
      <c r="A52" s="10" t="inlineStr">
        <is>
          <t>T048</t>
        </is>
      </c>
      <c r="B52" s="10" t="inlineStr">
        <is>
          <t>Sprint 5</t>
        </is>
      </c>
      <c r="C52" s="10" t="inlineStr">
        <is>
          <t>Phrase Bank</t>
        </is>
      </c>
      <c r="D52" s="10" t="inlineStr">
        <is>
          <t>phrases.html</t>
        </is>
      </c>
      <c r="E52" s="10" t="inlineStr">
        <is>
          <t>Tạo kho mẫu câu cố định</t>
        </is>
      </c>
      <c r="F52" s="10" t="inlineStr">
        <is>
          <t>Nhóm mẫu câu: chào hỏi, báo cáo, xác nhận, xin lỗi, nhờ hỗ trợ, delay.</t>
        </is>
      </c>
      <c r="G52" s="10" t="inlineStr">
        <is>
          <t>High</t>
        </is>
      </c>
      <c r="H52" s="10" t="inlineStr">
        <is>
          <t>Content</t>
        </is>
      </c>
      <c r="I52" s="10" t="inlineStr">
        <is>
          <t>Not Started</t>
        </is>
      </c>
      <c r="J52" s="30" t="n">
        <v>46194</v>
      </c>
      <c r="K52" s="30" t="n">
        <v>46195</v>
      </c>
      <c r="L52" s="31" t="n">
        <v>1.5</v>
      </c>
      <c r="M52" s="32">
        <f>IF(I52="Done",1,IF(I52="Review",0.8,IF(I52="In Progress",0.5,0)))</f>
        <v/>
      </c>
      <c r="N52" s="10" t="str"/>
      <c r="O52" s="10" t="inlineStr">
        <is>
          <t>Phrase bank content</t>
        </is>
      </c>
      <c r="P52" s="10" t="str"/>
    </row>
    <row r="53" ht="45" customHeight="1" s="2">
      <c r="A53" s="10" t="inlineStr">
        <is>
          <t>T049</t>
        </is>
      </c>
      <c r="B53" s="10" t="inlineStr">
        <is>
          <t>Sprint 5</t>
        </is>
      </c>
      <c r="C53" s="10" t="inlineStr">
        <is>
          <t>Phrase Bank</t>
        </is>
      </c>
      <c r="D53" s="10" t="inlineStr">
        <is>
          <t>phrases.html</t>
        </is>
      </c>
      <c r="E53" s="10" t="inlineStr">
        <is>
          <t>Code UI phrase bank</t>
        </is>
      </c>
      <c r="F53" s="10" t="inlineStr">
        <is>
          <t>Filter theo tình huống, copy phrase, hiển thị nghĩa Việt.</t>
        </is>
      </c>
      <c r="G53" s="10" t="inlineStr">
        <is>
          <t>High</t>
        </is>
      </c>
      <c r="H53" s="10" t="inlineStr">
        <is>
          <t>FE Dev</t>
        </is>
      </c>
      <c r="I53" s="10" t="inlineStr">
        <is>
          <t>Not Started</t>
        </is>
      </c>
      <c r="J53" s="30" t="n">
        <v>46196</v>
      </c>
      <c r="K53" s="30" t="n">
        <v>46196</v>
      </c>
      <c r="L53" s="31" t="n">
        <v>1</v>
      </c>
      <c r="M53" s="32">
        <f>IF(I53="Done",1,IF(I53="Review",0.8,IF(I53="In Progress",0.5,0)))</f>
        <v/>
      </c>
      <c r="N53" s="10" t="inlineStr">
        <is>
          <t>T048</t>
        </is>
      </c>
      <c r="O53" s="10" t="inlineStr">
        <is>
          <t>Phrase bank UI</t>
        </is>
      </c>
      <c r="P53" s="10" t="str"/>
    </row>
    <row r="54" ht="45" customHeight="1" s="2">
      <c r="A54" s="10" t="inlineStr">
        <is>
          <t>T050</t>
        </is>
      </c>
      <c r="B54" s="10" t="inlineStr">
        <is>
          <t>Sprint 5</t>
        </is>
      </c>
      <c r="C54" s="10" t="inlineStr">
        <is>
          <t>Audio</t>
        </is>
      </c>
      <c r="D54" s="10" t="inlineStr">
        <is>
          <t>Audio Button</t>
        </is>
      </c>
      <c r="E54" s="10" t="inlineStr">
        <is>
          <t>Tạo UI nút audio</t>
        </is>
      </c>
      <c r="F54" s="10" t="inlineStr">
        <is>
          <t>Nút audio dùng file pre-recorded hoặc placeholder nếu chưa có file.</t>
        </is>
      </c>
      <c r="G54" s="10" t="inlineStr">
        <is>
          <t>Low</t>
        </is>
      </c>
      <c r="H54" s="10" t="inlineStr">
        <is>
          <t>FE Dev</t>
        </is>
      </c>
      <c r="I54" s="10" t="inlineStr">
        <is>
          <t>Not Started</t>
        </is>
      </c>
      <c r="J54" s="30" t="n">
        <v>46197</v>
      </c>
      <c r="K54" s="30" t="n">
        <v>46197</v>
      </c>
      <c r="L54" s="31" t="n">
        <v>0.75</v>
      </c>
      <c r="M54" s="32">
        <f>IF(I54="Done",1,IF(I54="Review",0.8,IF(I54="In Progress",0.5,0)))</f>
        <v/>
      </c>
      <c r="N54" s="10" t="inlineStr">
        <is>
          <t>T014,T043</t>
        </is>
      </c>
      <c r="O54" s="10" t="inlineStr">
        <is>
          <t>Audio button</t>
        </is>
      </c>
      <c r="P54" s="10" t="str"/>
    </row>
    <row r="55" ht="45" customHeight="1" s="2">
      <c r="A55" s="10" t="inlineStr">
        <is>
          <t>T051</t>
        </is>
      </c>
      <c r="B55" s="10" t="inlineStr">
        <is>
          <t>Sprint 5</t>
        </is>
      </c>
      <c r="C55" s="10" t="inlineStr">
        <is>
          <t>QA</t>
        </is>
      </c>
      <c r="D55" s="10" t="inlineStr">
        <is>
          <t>Vocabulary QA</t>
        </is>
      </c>
      <c r="E55" s="10" t="inlineStr">
        <is>
          <t>Test flashcard/vocabulary</t>
        </is>
      </c>
      <c r="F55" s="10" t="inlineStr">
        <is>
          <t>Test lật thẻ, lưu từ khó, refresh vẫn còn dữ liệu.</t>
        </is>
      </c>
      <c r="G55" s="10" t="inlineStr">
        <is>
          <t>Medium</t>
        </is>
      </c>
      <c r="H55" s="10" t="inlineStr">
        <is>
          <t>QA</t>
        </is>
      </c>
      <c r="I55" s="10" t="inlineStr">
        <is>
          <t>Not Started</t>
        </is>
      </c>
      <c r="J55" s="30" t="n">
        <v>46198</v>
      </c>
      <c r="K55" s="30" t="n">
        <v>46198</v>
      </c>
      <c r="L55" s="31" t="n">
        <v>0.5</v>
      </c>
      <c r="M55" s="32">
        <f>IF(I55="Done",1,IF(I55="Review",0.8,IF(I55="In Progress",0.5,0)))</f>
        <v/>
      </c>
      <c r="N55" s="10" t="inlineStr">
        <is>
          <t>T043,T044,T045,T046,T049</t>
        </is>
      </c>
      <c r="O55" s="10" t="inlineStr">
        <is>
          <t>QA note</t>
        </is>
      </c>
      <c r="P55" s="10" t="str"/>
    </row>
    <row r="56" ht="45" customHeight="1" s="2">
      <c r="A56" s="10" t="inlineStr">
        <is>
          <t>T052</t>
        </is>
      </c>
      <c r="B56" s="10" t="inlineStr">
        <is>
          <t>Sprint 6</t>
        </is>
      </c>
      <c r="C56" s="10" t="inlineStr">
        <is>
          <t>Responsive</t>
        </is>
      </c>
      <c r="D56" s="10" t="inlineStr">
        <is>
          <t>Mobile UI</t>
        </is>
      </c>
      <c r="E56" s="10" t="inlineStr">
        <is>
          <t>Kiểm tra responsive toàn site</t>
        </is>
      </c>
      <c r="F56" s="10" t="inlineStr">
        <is>
          <t>Landing, hub, stage, lesson, quiz, flashcard trên mobile.</t>
        </is>
      </c>
      <c r="G56" s="10" t="inlineStr">
        <is>
          <t>High</t>
        </is>
      </c>
      <c r="H56" s="10" t="inlineStr">
        <is>
          <t>QA</t>
        </is>
      </c>
      <c r="I56" s="10" t="inlineStr">
        <is>
          <t>Not Started</t>
        </is>
      </c>
      <c r="J56" s="30" t="n">
        <v>46199</v>
      </c>
      <c r="K56" s="30" t="n">
        <v>46199</v>
      </c>
      <c r="L56" s="31" t="n">
        <v>1</v>
      </c>
      <c r="M56" s="32">
        <f>IF(I56="Done",1,IF(I56="Review",0.8,IF(I56="In Progress",0.5,0)))</f>
        <v/>
      </c>
      <c r="N56" s="10" t="str"/>
      <c r="O56" s="10" t="inlineStr">
        <is>
          <t>Responsive QA</t>
        </is>
      </c>
      <c r="P56" s="10" t="str"/>
    </row>
    <row r="57" ht="45" customHeight="1" s="2">
      <c r="A57" s="10" t="inlineStr">
        <is>
          <t>T053</t>
        </is>
      </c>
      <c r="B57" s="10" t="inlineStr">
        <is>
          <t>Sprint 6</t>
        </is>
      </c>
      <c r="C57" s="10" t="inlineStr">
        <is>
          <t>Theme</t>
        </is>
      </c>
      <c r="D57" s="10" t="inlineStr">
        <is>
          <t>theme.js</t>
        </is>
      </c>
      <c r="E57" s="10" t="inlineStr">
        <is>
          <t>Tạo dark mode toggle</t>
        </is>
      </c>
      <c r="F57" s="10" t="inlineStr">
        <is>
          <t>Lưu theme vào LocalStorage, apply class dark.</t>
        </is>
      </c>
      <c r="G57" s="10" t="inlineStr">
        <is>
          <t>Medium</t>
        </is>
      </c>
      <c r="H57" s="10" t="inlineStr">
        <is>
          <t>FE Dev</t>
        </is>
      </c>
      <c r="I57" s="10" t="inlineStr">
        <is>
          <t>Not Started</t>
        </is>
      </c>
      <c r="J57" s="30" t="n">
        <v>46200</v>
      </c>
      <c r="K57" s="30" t="n">
        <v>46200</v>
      </c>
      <c r="L57" s="31" t="n">
        <v>0.75</v>
      </c>
      <c r="M57" s="32">
        <f>IF(I57="Done",1,IF(I57="Review",0.8,IF(I57="In Progress",0.5,0)))</f>
        <v/>
      </c>
      <c r="N57" s="10" t="inlineStr">
        <is>
          <t>T002</t>
        </is>
      </c>
      <c r="O57" s="10" t="inlineStr">
        <is>
          <t>Dark mode</t>
        </is>
      </c>
      <c r="P57" s="10" t="str"/>
    </row>
    <row r="58" ht="45" customHeight="1" s="2">
      <c r="A58" s="10" t="inlineStr">
        <is>
          <t>T054</t>
        </is>
      </c>
      <c r="B58" s="10" t="inlineStr">
        <is>
          <t>Sprint 6</t>
        </is>
      </c>
      <c r="C58" s="10" t="inlineStr">
        <is>
          <t>Design Polish</t>
        </is>
      </c>
      <c r="D58" s="10" t="inlineStr">
        <is>
          <t>Landing</t>
        </is>
      </c>
      <c r="E58" s="10" t="inlineStr">
        <is>
          <t>Cải thiện visual landing page</t>
        </is>
      </c>
      <c r="F58" s="10" t="inlineStr">
        <is>
          <t>Spacing, button, card, màu thương hiệu Nhật đỏ + indigo.</t>
        </is>
      </c>
      <c r="G58" s="10" t="inlineStr">
        <is>
          <t>Medium</t>
        </is>
      </c>
      <c r="H58" s="10" t="inlineStr">
        <is>
          <t>Designer</t>
        </is>
      </c>
      <c r="I58" s="10" t="inlineStr">
        <is>
          <t>Not Started</t>
        </is>
      </c>
      <c r="J58" s="30" t="n">
        <v>46201</v>
      </c>
      <c r="K58" s="30" t="n">
        <v>46201</v>
      </c>
      <c r="L58" s="31" t="n">
        <v>1</v>
      </c>
      <c r="M58" s="32">
        <f>IF(I58="Done",1,IF(I58="Review",0.8,IF(I58="In Progress",0.5,0)))</f>
        <v/>
      </c>
      <c r="N58" s="10" t="inlineStr">
        <is>
          <t>T003</t>
        </is>
      </c>
      <c r="O58" s="10" t="inlineStr">
        <is>
          <t>Polished landing</t>
        </is>
      </c>
      <c r="P58" s="10" t="str"/>
    </row>
    <row r="59" ht="45" customHeight="1" s="2">
      <c r="A59" s="10" t="inlineStr">
        <is>
          <t>T055</t>
        </is>
      </c>
      <c r="B59" s="10" t="inlineStr">
        <is>
          <t>Sprint 6</t>
        </is>
      </c>
      <c r="C59" s="10" t="inlineStr">
        <is>
          <t>Design Polish</t>
        </is>
      </c>
      <c r="D59" s="10" t="inlineStr">
        <is>
          <t>Lesson</t>
        </is>
      </c>
      <c r="E59" s="10" t="inlineStr">
        <is>
          <t>Cải thiện visual lesson page</t>
        </is>
      </c>
      <c r="F59" s="10" t="inlineStr">
        <is>
          <t>Tối ưu đọc dài: block tiếng Nhật, ví dụ, practice, quiz.</t>
        </is>
      </c>
      <c r="G59" s="10" t="inlineStr">
        <is>
          <t>Medium</t>
        </is>
      </c>
      <c r="H59" s="10" t="inlineStr">
        <is>
          <t>Designer</t>
        </is>
      </c>
      <c r="I59" s="10" t="inlineStr">
        <is>
          <t>Not Started</t>
        </is>
      </c>
      <c r="J59" s="30" t="n">
        <v>46202</v>
      </c>
      <c r="K59" s="30" t="n">
        <v>46202</v>
      </c>
      <c r="L59" s="31" t="n">
        <v>1</v>
      </c>
      <c r="M59" s="32">
        <f>IF(I59="Done",1,IF(I59="Review",0.8,IF(I59="In Progress",0.5,0)))</f>
        <v/>
      </c>
      <c r="N59" s="10" t="inlineStr">
        <is>
          <t>T020,T038</t>
        </is>
      </c>
      <c r="O59" s="10" t="inlineStr">
        <is>
          <t>Polished lesson</t>
        </is>
      </c>
      <c r="P59" s="10" t="str"/>
    </row>
    <row r="60" ht="45" customHeight="1" s="2">
      <c r="A60" s="10" t="inlineStr">
        <is>
          <t>T056</t>
        </is>
      </c>
      <c r="B60" s="10" t="inlineStr">
        <is>
          <t>Sprint 6</t>
        </is>
      </c>
      <c r="C60" s="10" t="inlineStr">
        <is>
          <t>Content</t>
        </is>
      </c>
      <c r="D60" s="10" t="inlineStr">
        <is>
          <t>Stage 2 MVP</t>
        </is>
      </c>
      <c r="E60" s="10" t="inlineStr">
        <is>
          <t>Tạo thêm 2 lesson mẫu</t>
        </is>
      </c>
      <c r="F60" s="10" t="inlineStr">
        <is>
          <t>Meeting: khi không hiểu ý khách; Reporting: báo tiến độ/delay.</t>
        </is>
      </c>
      <c r="G60" s="10" t="inlineStr">
        <is>
          <t>High</t>
        </is>
      </c>
      <c r="H60" s="10" t="inlineStr">
        <is>
          <t>Content</t>
        </is>
      </c>
      <c r="I60" s="10" t="inlineStr">
        <is>
          <t>Not Started</t>
        </is>
      </c>
      <c r="J60" s="30" t="n">
        <v>46203</v>
      </c>
      <c r="K60" s="30" t="n">
        <v>46204</v>
      </c>
      <c r="L60" s="31" t="n">
        <v>2</v>
      </c>
      <c r="M60" s="32">
        <f>IF(I60="Done",1,IF(I60="Review",0.8,IF(I60="In Progress",0.5,0)))</f>
        <v/>
      </c>
      <c r="N60" s="10" t="inlineStr">
        <is>
          <t>T020</t>
        </is>
      </c>
      <c r="O60" s="10" t="inlineStr">
        <is>
          <t>Lesson 02-03 content</t>
        </is>
      </c>
      <c r="P60" s="10" t="str"/>
    </row>
    <row r="61" ht="45" customHeight="1" s="2">
      <c r="A61" s="10" t="inlineStr">
        <is>
          <t>T057</t>
        </is>
      </c>
      <c r="B61" s="10" t="inlineStr">
        <is>
          <t>Sprint 6</t>
        </is>
      </c>
      <c r="C61" s="10" t="inlineStr">
        <is>
          <t>Lesson Build</t>
        </is>
      </c>
      <c r="D61" s="10" t="inlineStr">
        <is>
          <t>Stage 2 MVP</t>
        </is>
      </c>
      <c r="E61" s="10" t="inlineStr">
        <is>
          <t>Code lesson 02 và lesson 03</t>
        </is>
      </c>
      <c r="F61" s="10" t="inlineStr">
        <is>
          <t>Dùng lại template lesson 01 để tạo 2 bài mới.</t>
        </is>
      </c>
      <c r="G61" s="10" t="inlineStr">
        <is>
          <t>High</t>
        </is>
      </c>
      <c r="H61" s="10" t="inlineStr">
        <is>
          <t>FE Dev</t>
        </is>
      </c>
      <c r="I61" s="10" t="inlineStr">
        <is>
          <t>Not Started</t>
        </is>
      </c>
      <c r="J61" s="30" t="n">
        <v>46205</v>
      </c>
      <c r="K61" s="30" t="n">
        <v>46206</v>
      </c>
      <c r="L61" s="31" t="n">
        <v>1.5</v>
      </c>
      <c r="M61" s="32">
        <f>IF(I61="Done",1,IF(I61="Review",0.8,IF(I61="In Progress",0.5,0)))</f>
        <v/>
      </c>
      <c r="N61" s="10" t="inlineStr">
        <is>
          <t>T055</t>
        </is>
      </c>
      <c r="O61" s="10" t="inlineStr">
        <is>
          <t>Lesson 02-03 pages</t>
        </is>
      </c>
      <c r="P61" s="10" t="str"/>
    </row>
    <row r="62" ht="45" customHeight="1" s="2">
      <c r="A62" s="10" t="inlineStr">
        <is>
          <t>T058</t>
        </is>
      </c>
      <c r="B62" s="10" t="inlineStr">
        <is>
          <t>Sprint 6</t>
        </is>
      </c>
      <c r="C62" s="10" t="inlineStr">
        <is>
          <t>Link QA</t>
        </is>
      </c>
      <c r="D62" s="10" t="inlineStr">
        <is>
          <t>All Links</t>
        </is>
      </c>
      <c r="E62" s="10" t="inlineStr">
        <is>
          <t>Kiểm tra toàn bộ link</t>
        </is>
      </c>
      <c r="F62" s="10" t="inlineStr">
        <is>
          <t>Không để link chết giữa landing, hub, stage, module, lesson.</t>
        </is>
      </c>
      <c r="G62" s="10" t="inlineStr">
        <is>
          <t>High</t>
        </is>
      </c>
      <c r="H62" s="10" t="inlineStr">
        <is>
          <t>QA</t>
        </is>
      </c>
      <c r="I62" s="10" t="inlineStr">
        <is>
          <t>Not Started</t>
        </is>
      </c>
      <c r="J62" s="30" t="n">
        <v>46207</v>
      </c>
      <c r="K62" s="30" t="n">
        <v>46207</v>
      </c>
      <c r="L62" s="31" t="n">
        <v>0.5</v>
      </c>
      <c r="M62" s="32">
        <f>IF(I62="Done",1,IF(I62="Review",0.8,IF(I62="In Progress",0.5,0)))</f>
        <v/>
      </c>
      <c r="N62" s="10" t="inlineStr">
        <is>
          <t>T056</t>
        </is>
      </c>
      <c r="O62" s="10" t="inlineStr">
        <is>
          <t>Link QA</t>
        </is>
      </c>
      <c r="P62" s="10" t="str"/>
    </row>
    <row r="63" ht="45" customHeight="1" s="2">
      <c r="A63" s="10" t="inlineStr">
        <is>
          <t>T059</t>
        </is>
      </c>
      <c r="B63" s="10" t="inlineStr">
        <is>
          <t>Sprint 6</t>
        </is>
      </c>
      <c r="C63" s="10" t="inlineStr">
        <is>
          <t>Screenshot</t>
        </is>
      </c>
      <c r="D63" s="10" t="inlineStr">
        <is>
          <t>assets/screenshots</t>
        </is>
      </c>
      <c r="E63" s="10" t="inlineStr">
        <is>
          <t>Chụp screenshot sau thay đổi lớn</t>
        </is>
      </c>
      <c r="F63" s="10" t="inlineStr">
        <is>
          <t>Lưu ảnh landing, hub, lesson, flashcard.</t>
        </is>
      </c>
      <c r="G63" s="10" t="inlineStr">
        <is>
          <t>Low</t>
        </is>
      </c>
      <c r="H63" s="10" t="inlineStr">
        <is>
          <t>QA</t>
        </is>
      </c>
      <c r="I63" s="10" t="inlineStr">
        <is>
          <t>Not Started</t>
        </is>
      </c>
      <c r="J63" s="30" t="n">
        <v>46208</v>
      </c>
      <c r="K63" s="30" t="n">
        <v>46208</v>
      </c>
      <c r="L63" s="31" t="n">
        <v>0.5</v>
      </c>
      <c r="M63" s="32">
        <f>IF(I63="Done",1,IF(I63="Review",0.8,IF(I63="In Progress",0.5,0)))</f>
        <v/>
      </c>
      <c r="N63" s="10" t="inlineStr">
        <is>
          <t>T057</t>
        </is>
      </c>
      <c r="O63" s="10" t="inlineStr">
        <is>
          <t>Screenshots</t>
        </is>
      </c>
      <c r="P63" s="10" t="str"/>
    </row>
    <row r="64" ht="45" customHeight="1" s="2">
      <c r="A64" s="10" t="inlineStr">
        <is>
          <t>T060</t>
        </is>
      </c>
      <c r="B64" s="10" t="inlineStr">
        <is>
          <t>Sprint 6</t>
        </is>
      </c>
      <c r="C64" s="10" t="inlineStr">
        <is>
          <t>Deploy</t>
        </is>
      </c>
      <c r="D64" s="10" t="inlineStr">
        <is>
          <t>GitHub Pages</t>
        </is>
      </c>
      <c r="E64" s="10" t="inlineStr">
        <is>
          <t>Deploy MVP demo</t>
        </is>
      </c>
      <c r="F64" s="10" t="inlineStr">
        <is>
          <t>Deploy bản cuối Sprint 6 lên GitHub Pages.</t>
        </is>
      </c>
      <c r="G64" s="10" t="inlineStr">
        <is>
          <t>High</t>
        </is>
      </c>
      <c r="H64" s="10" t="inlineStr">
        <is>
          <t>FE Dev</t>
        </is>
      </c>
      <c r="I64" s="10" t="inlineStr">
        <is>
          <t>Not Started</t>
        </is>
      </c>
      <c r="J64" s="30" t="n">
        <v>46209</v>
      </c>
      <c r="K64" s="30" t="n">
        <v>46209</v>
      </c>
      <c r="L64" s="31" t="n">
        <v>0.5</v>
      </c>
      <c r="M64" s="32">
        <f>IF(I64="Done",1,IF(I64="Review",0.8,IF(I64="In Progress",0.5,0)))</f>
        <v/>
      </c>
      <c r="N64" s="10" t="inlineStr">
        <is>
          <t>T057</t>
        </is>
      </c>
      <c r="O64" s="10" t="inlineStr">
        <is>
          <t>MVP URL</t>
        </is>
      </c>
      <c r="P64" s="10" t="str"/>
    </row>
    <row r="65" ht="45" customHeight="1" s="2">
      <c r="A65" s="10" t="inlineStr">
        <is>
          <t>T061</t>
        </is>
      </c>
      <c r="B65" s="10" t="inlineStr">
        <is>
          <t>Sprint 6</t>
        </is>
      </c>
      <c r="C65" s="10" t="inlineStr">
        <is>
          <t>Release</t>
        </is>
      </c>
      <c r="D65" s="10" t="inlineStr">
        <is>
          <t>MVP Review</t>
        </is>
      </c>
      <c r="E65" s="10" t="inlineStr">
        <is>
          <t>Review MVP với checklist</t>
        </is>
      </c>
      <c r="F65" s="10" t="inlineStr">
        <is>
          <t>Kiểm tra MVP đủ: landing, hub, Stage2, 3 lesson, progress, quiz, flashcard.</t>
        </is>
      </c>
      <c r="G65" s="10" t="inlineStr">
        <is>
          <t>High</t>
        </is>
      </c>
      <c r="H65" s="10" t="inlineStr">
        <is>
          <t>PM</t>
        </is>
      </c>
      <c r="I65" s="10" t="inlineStr">
        <is>
          <t>Not Started</t>
        </is>
      </c>
      <c r="J65" s="30" t="n">
        <v>46210</v>
      </c>
      <c r="K65" s="30" t="n">
        <v>46210</v>
      </c>
      <c r="L65" s="31" t="n">
        <v>0.5</v>
      </c>
      <c r="M65" s="32">
        <f>IF(I65="Done",1,IF(I65="Review",0.8,IF(I65="In Progress",0.5,0)))</f>
        <v/>
      </c>
      <c r="N65" s="10" t="inlineStr">
        <is>
          <t>T059</t>
        </is>
      </c>
      <c r="O65" s="10" t="inlineStr">
        <is>
          <t>MVP checklist</t>
        </is>
      </c>
      <c r="P65" s="10" t="str"/>
    </row>
  </sheetData>
  <dataValidations count="3">
    <dataValidation sqref="G5:G65" showDropDown="0" showInputMessage="0" showErrorMessage="0" allowBlank="0" type="list">
      <formula1>"High,Medium,Low"</formula1>
    </dataValidation>
    <dataValidation sqref="H5:H65" showDropDown="0" showInputMessage="0" showErrorMessage="0" allowBlank="1" type="list">
      <formula1>"FE Dev,Content,PM,Designer,QA,Unassigned"</formula1>
    </dataValidation>
    <dataValidation sqref="I5:I65" showDropDown="0" showInputMessage="0" showErrorMessage="0" allowBlank="0" type="list">
      <formula1>"Not Started,In Progress,Review,Done,Blocked"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style="2" min="1" max="1"/>
    <col width="14" customWidth="1" style="2" min="2" max="2"/>
    <col width="4" customWidth="1" style="2" min="3" max="3"/>
    <col width="13" customWidth="1" style="2" min="4" max="4"/>
    <col width="32" customWidth="1" style="2" min="5" max="5"/>
    <col width="12" customWidth="1" style="2" min="6" max="6"/>
    <col width="12" customWidth="1" style="2" min="7" max="7"/>
    <col width="12" customWidth="1" style="2" min="8" max="8"/>
    <col width="12" customWidth="1" style="2" min="9" max="9"/>
    <col width="12" customWidth="1" style="2" min="10" max="10"/>
  </cols>
  <sheetData>
    <row r="1">
      <c r="A1" s="3" t="inlineStr">
        <is>
          <t>Senpai MVP — Dashboard</t>
        </is>
      </c>
      <c r="B1" s="3" t="str"/>
      <c r="C1" s="3" t="str"/>
      <c r="D1" s="3" t="str"/>
      <c r="E1" s="3" t="str"/>
      <c r="F1" s="3" t="str"/>
      <c r="G1" s="3" t="str"/>
      <c r="H1" s="3" t="str"/>
      <c r="I1" s="3" t="str"/>
      <c r="J1" s="3" t="str"/>
    </row>
    <row r="2">
      <c r="A2" s="6" t="inlineStr">
        <is>
          <t>Theo dõi tổng quan task coding, sprint, trạng thái và tiến độ MVP</t>
        </is>
      </c>
      <c r="B2" s="6" t="str"/>
      <c r="C2" s="6" t="str"/>
      <c r="D2" s="6" t="str"/>
      <c r="E2" s="6" t="str"/>
      <c r="F2" s="6" t="str"/>
      <c r="G2" s="6" t="str"/>
      <c r="H2" s="6" t="str"/>
      <c r="I2" s="6" t="str"/>
      <c r="J2" s="6" t="str"/>
    </row>
    <row r="4">
      <c r="A4" s="22" t="inlineStr">
        <is>
          <t>Tổng task</t>
        </is>
      </c>
      <c r="B4" s="24">
        <f>COUNTA('Task Plan'!A5:A65)</f>
        <v/>
      </c>
      <c r="D4" s="8" t="inlineStr">
        <is>
          <t>Sprint</t>
        </is>
      </c>
      <c r="E4" s="8" t="inlineStr">
        <is>
          <t>Scope chính</t>
        </is>
      </c>
      <c r="F4" s="8" t="inlineStr">
        <is>
          <t>Task</t>
        </is>
      </c>
      <c r="G4" s="8" t="inlineStr">
        <is>
          <t>Done</t>
        </is>
      </c>
      <c r="H4" s="8" t="inlineStr">
        <is>
          <t>In Progress</t>
        </is>
      </c>
      <c r="I4" s="8" t="inlineStr">
        <is>
          <t>Blocked</t>
        </is>
      </c>
      <c r="J4" s="8" t="inlineStr">
        <is>
          <t>Progress</t>
        </is>
      </c>
    </row>
    <row r="5">
      <c r="A5" s="22" t="inlineStr">
        <is>
          <t>Done</t>
        </is>
      </c>
      <c r="B5" s="24">
        <f>COUNTIF('Task Plan'!I5:I65,"Done")</f>
        <v/>
      </c>
      <c r="D5" t="inlineStr">
        <is>
          <t>Sprint 1</t>
        </is>
      </c>
      <c r="E5" t="inlineStr">
        <is>
          <t>Khung website / deploy lần 1</t>
        </is>
      </c>
      <c r="F5">
        <f>COUNTIF('Task Plan'!B5:B65,D5)</f>
        <v/>
      </c>
      <c r="G5">
        <f>COUNTIFS('Task Plan'!B5:B65,D5,'Task Plan'!I5:I65,"Done")</f>
        <v/>
      </c>
      <c r="H5">
        <f>COUNTIFS('Task Plan'!B5:B65,D5,'Task Plan'!I5:I65,"In Progress")</f>
        <v/>
      </c>
      <c r="I5">
        <f>COUNTIFS('Task Plan'!B5:B65,D5,'Task Plan'!I5:I65,"Blocked")</f>
        <v/>
      </c>
      <c r="J5" s="33">
        <f>IFERROR(AVERAGEIF('Task Plan'!B5:B65,D5,'Task Plan'!M5:M65),0)</f>
        <v/>
      </c>
    </row>
    <row r="6">
      <c r="A6" s="22" t="inlineStr">
        <is>
          <t>In Progress</t>
        </is>
      </c>
      <c r="B6" s="24">
        <f>COUNTIF('Task Plan'!I5:I65,"In Progress")</f>
        <v/>
      </c>
      <c r="D6" t="inlineStr">
        <is>
          <t>Sprint 2</t>
        </is>
      </c>
      <c r="E6" t="inlineStr">
        <is>
          <t>Lesson template + Lesson 01</t>
        </is>
      </c>
      <c r="F6">
        <f>COUNTIF('Task Plan'!B5:B65,D6)</f>
        <v/>
      </c>
      <c r="G6">
        <f>COUNTIFS('Task Plan'!B5:B65,D6,'Task Plan'!I5:I65,"Done")</f>
        <v/>
      </c>
      <c r="H6">
        <f>COUNTIFS('Task Plan'!B5:B65,D6,'Task Plan'!I5:I65,"In Progress")</f>
        <v/>
      </c>
      <c r="I6">
        <f>COUNTIFS('Task Plan'!B5:B65,D6,'Task Plan'!I5:I65,"Blocked")</f>
        <v/>
      </c>
      <c r="J6" s="33">
        <f>IFERROR(AVERAGEIF('Task Plan'!B5:B65,D6,'Task Plan'!M5:M65),0)</f>
        <v/>
      </c>
    </row>
    <row r="7">
      <c r="A7" s="22" t="inlineStr">
        <is>
          <t>Blocked</t>
        </is>
      </c>
      <c r="B7" s="24">
        <f>COUNTIF('Task Plan'!I5:I65,"Blocked")</f>
        <v/>
      </c>
      <c r="D7" t="inlineStr">
        <is>
          <t>Sprint 3</t>
        </is>
      </c>
      <c r="E7" t="inlineStr">
        <is>
          <t>Progress tracking LocalStorage</t>
        </is>
      </c>
      <c r="F7">
        <f>COUNTIF('Task Plan'!B5:B65,D7)</f>
        <v/>
      </c>
      <c r="G7">
        <f>COUNTIFS('Task Plan'!B5:B65,D7,'Task Plan'!I5:I65,"Done")</f>
        <v/>
      </c>
      <c r="H7">
        <f>COUNTIFS('Task Plan'!B5:B65,D7,'Task Plan'!I5:I65,"In Progress")</f>
        <v/>
      </c>
      <c r="I7">
        <f>COUNTIFS('Task Plan'!B5:B65,D7,'Task Plan'!I5:I65,"Blocked")</f>
        <v/>
      </c>
      <c r="J7" s="33">
        <f>IFERROR(AVERAGEIF('Task Plan'!B5:B65,D7,'Task Plan'!M5:M65),0)</f>
        <v/>
      </c>
    </row>
    <row r="8">
      <c r="A8" s="22" t="inlineStr">
        <is>
          <t>Tiến độ TB</t>
        </is>
      </c>
      <c r="B8" s="34">
        <f>AVERAGE('Task Plan'!M5:M65)</f>
        <v/>
      </c>
      <c r="D8" t="inlineStr">
        <is>
          <t>Sprint 4</t>
        </is>
      </c>
      <c r="E8" t="inlineStr">
        <is>
          <t>Quiz / Practice tương tác</t>
        </is>
      </c>
      <c r="F8">
        <f>COUNTIF('Task Plan'!B5:B65,D8)</f>
        <v/>
      </c>
      <c r="G8">
        <f>COUNTIFS('Task Plan'!B5:B65,D8,'Task Plan'!I5:I65,"Done")</f>
        <v/>
      </c>
      <c r="H8">
        <f>COUNTIFS('Task Plan'!B5:B65,D8,'Task Plan'!I5:I65,"In Progress")</f>
        <v/>
      </c>
      <c r="I8">
        <f>COUNTIFS('Task Plan'!B5:B65,D8,'Task Plan'!I5:I65,"Blocked")</f>
        <v/>
      </c>
      <c r="J8" s="33">
        <f>IFERROR(AVERAGEIF('Task Plan'!B5:B65,D8,'Task Plan'!M5:M65),0)</f>
        <v/>
      </c>
    </row>
    <row r="9">
      <c r="A9" s="22" t="inlineStr">
        <is>
          <t>Tổng Est. Days</t>
        </is>
      </c>
      <c r="B9" s="35">
        <f>SUM('Task Plan'!L5:L65)</f>
        <v/>
      </c>
      <c r="D9" t="inlineStr">
        <is>
          <t>Sprint 5</t>
        </is>
      </c>
      <c r="E9" t="inlineStr">
        <is>
          <t>Vocabulary / Flashcard / Phrase Bank</t>
        </is>
      </c>
      <c r="F9">
        <f>COUNTIF('Task Plan'!B5:B65,D9)</f>
        <v/>
      </c>
      <c r="G9">
        <f>COUNTIFS('Task Plan'!B5:B65,D9,'Task Plan'!I5:I65,"Done")</f>
        <v/>
      </c>
      <c r="H9">
        <f>COUNTIFS('Task Plan'!B5:B65,D9,'Task Plan'!I5:I65,"In Progress")</f>
        <v/>
      </c>
      <c r="I9">
        <f>COUNTIFS('Task Plan'!B5:B65,D9,'Task Plan'!I5:I65,"Blocked")</f>
        <v/>
      </c>
      <c r="J9" s="33">
        <f>IFERROR(AVERAGEIF('Task Plan'!B5:B65,D9,'Task Plan'!M5:M65),0)</f>
        <v/>
      </c>
    </row>
    <row r="10">
      <c r="D10" t="inlineStr">
        <is>
          <t>Sprint 6</t>
        </is>
      </c>
      <c r="E10" t="inlineStr">
        <is>
          <t>Polish MVP / deploy demo</t>
        </is>
      </c>
      <c r="F10">
        <f>COUNTIF('Task Plan'!B5:B65,D10)</f>
        <v/>
      </c>
      <c r="G10">
        <f>COUNTIFS('Task Plan'!B5:B65,D10,'Task Plan'!I5:I65,"Done")</f>
        <v/>
      </c>
      <c r="H10">
        <f>COUNTIFS('Task Plan'!B5:B65,D10,'Task Plan'!I5:I65,"In Progress")</f>
        <v/>
      </c>
      <c r="I10">
        <f>COUNTIFS('Task Plan'!B5:B65,D10,'Task Plan'!I5:I65,"Blocked")</f>
        <v/>
      </c>
      <c r="J10" s="33">
        <f>IFERROR(AVERAGEIF('Task Plan'!B5:B65,D10,'Task Plan'!M5:M65),0)</f>
        <v/>
      </c>
    </row>
    <row r="12">
      <c r="A12" s="8" t="inlineStr">
        <is>
          <t>Status</t>
        </is>
      </c>
      <c r="B12" s="8" t="inlineStr">
        <is>
          <t>Count</t>
        </is>
      </c>
      <c r="D12" s="8" t="inlineStr">
        <is>
          <t>Priority</t>
        </is>
      </c>
      <c r="E12" s="8" t="inlineStr">
        <is>
          <t>Count</t>
        </is>
      </c>
    </row>
    <row r="13">
      <c r="A13" t="inlineStr">
        <is>
          <t>Not Started</t>
        </is>
      </c>
      <c r="B13">
        <f>COUNTIF('Task Plan'!I5:I65,A13)</f>
        <v/>
      </c>
      <c r="D13" t="inlineStr">
        <is>
          <t>High</t>
        </is>
      </c>
      <c r="E13">
        <f>COUNTIF('Task Plan'!G5:G65,D13)</f>
        <v/>
      </c>
    </row>
    <row r="14">
      <c r="A14" t="inlineStr">
        <is>
          <t>In Progress</t>
        </is>
      </c>
      <c r="B14">
        <f>COUNTIF('Task Plan'!I5:I65,A14)</f>
        <v/>
      </c>
      <c r="D14" t="inlineStr">
        <is>
          <t>Medium</t>
        </is>
      </c>
      <c r="E14">
        <f>COUNTIF('Task Plan'!G5:G65,D14)</f>
        <v/>
      </c>
    </row>
    <row r="15">
      <c r="A15" t="inlineStr">
        <is>
          <t>Review</t>
        </is>
      </c>
      <c r="B15">
        <f>COUNTIF('Task Plan'!I5:I65,A15)</f>
        <v/>
      </c>
      <c r="D15" t="inlineStr">
        <is>
          <t>Low</t>
        </is>
      </c>
      <c r="E15">
        <f>COUNTIF('Task Plan'!G5:G65,D15)</f>
        <v/>
      </c>
    </row>
    <row r="16">
      <c r="A16" t="inlineStr">
        <is>
          <t>Done</t>
        </is>
      </c>
      <c r="B16">
        <f>COUNTIF('Task Plan'!I5:I65,A16)</f>
        <v/>
      </c>
    </row>
    <row r="17">
      <c r="A17" t="inlineStr">
        <is>
          <t>Blocked</t>
        </is>
      </c>
      <c r="B17">
        <f>COUNTIF('Task Plan'!I5:I65,A17)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style="2" min="1" max="1"/>
    <col width="14" customWidth="1" style="2" min="2" max="2"/>
    <col width="15" customWidth="1" style="2" min="3" max="3"/>
    <col width="32" customWidth="1" style="2" min="4" max="4"/>
    <col width="44" customWidth="1" style="2" min="5" max="5"/>
    <col width="38" customWidth="1" style="2" min="6" max="6"/>
    <col width="14" customWidth="1" style="2" min="7" max="7"/>
    <col width="10" customWidth="1" style="2" min="8" max="8"/>
    <col width="34" customWidth="1" style="2" min="9" max="9"/>
  </cols>
  <sheetData>
    <row r="1">
      <c r="A1" s="3" t="inlineStr">
        <is>
          <t>Senpai — Content Backlog</t>
        </is>
      </c>
      <c r="B1" s="3" t="str"/>
      <c r="C1" s="3" t="str"/>
      <c r="D1" s="3" t="str"/>
      <c r="E1" s="3" t="str"/>
      <c r="F1" s="3" t="str"/>
      <c r="G1" s="3" t="str"/>
      <c r="H1" s="3" t="str"/>
      <c r="I1" s="3" t="str"/>
    </row>
    <row r="3" ht="32" customHeight="1" s="2">
      <c r="A3" s="8" t="inlineStr">
        <is>
          <t>Stage</t>
        </is>
      </c>
      <c r="B3" s="8" t="inlineStr">
        <is>
          <t>Module</t>
        </is>
      </c>
      <c r="C3" s="8" t="inlineStr">
        <is>
          <t>Lesson ID</t>
        </is>
      </c>
      <c r="D3" s="8" t="inlineStr">
        <is>
          <t>Lesson Title</t>
        </is>
      </c>
      <c r="E3" s="8" t="inlineStr">
        <is>
          <t>Scenario</t>
        </is>
      </c>
      <c r="F3" s="8" t="inlineStr">
        <is>
          <t>Core Pattern</t>
        </is>
      </c>
      <c r="G3" s="8" t="inlineStr">
        <is>
          <t>Asset Status</t>
        </is>
      </c>
      <c r="H3" s="8" t="inlineStr">
        <is>
          <t>Priority</t>
        </is>
      </c>
      <c r="I3" s="8" t="inlineStr">
        <is>
          <t>Notes</t>
        </is>
      </c>
    </row>
    <row r="4" ht="48" customHeight="1" s="2">
      <c r="A4" s="10" t="inlineStr">
        <is>
          <t>Stage 2</t>
        </is>
      </c>
      <c r="B4" s="10" t="inlineStr">
        <is>
          <t>Email</t>
        </is>
      </c>
      <c r="C4" s="10" t="inlineStr">
        <is>
          <t>L2-EMAIL-01</t>
        </is>
      </c>
      <c r="D4" s="10" t="inlineStr">
        <is>
          <t>Xin chào khi join dự án mới</t>
        </is>
      </c>
      <c r="E4" s="10" t="inlineStr">
        <is>
          <t>Dev/BA/PM mới vào dự án Nhật cần gửi lời chào ngắn gọn.</t>
        </is>
      </c>
      <c r="F4" s="10" t="inlineStr">
        <is>
          <t>お世話になります / よろしくお願いいたします</t>
        </is>
      </c>
      <c r="G4" s="10" t="inlineStr">
        <is>
          <t>MVP</t>
        </is>
      </c>
      <c r="H4" s="10" t="inlineStr">
        <is>
          <t>High</t>
        </is>
      </c>
      <c r="I4" s="10" t="inlineStr">
        <is>
          <t>Bài mẫu đầu tiên để chuẩn hóa template.</t>
        </is>
      </c>
    </row>
    <row r="5" ht="48" customHeight="1" s="2">
      <c r="A5" s="10" t="inlineStr">
        <is>
          <t>Stage 2</t>
        </is>
      </c>
      <c r="B5" s="10" t="inlineStr">
        <is>
          <t>Meeting</t>
        </is>
      </c>
      <c r="C5" s="10" t="inlineStr">
        <is>
          <t>L2-MEET-01</t>
        </is>
      </c>
      <c r="D5" s="10" t="inlineStr">
        <is>
          <t>Khi không hiểu ý khách trong meeting</t>
        </is>
      </c>
      <c r="E5" s="10" t="inlineStr">
        <is>
          <t>Nghe khách giải thích spec nhưng chưa hiểu rõ điểm cần xác nhận.</t>
        </is>
      </c>
      <c r="F5" s="10" t="inlineStr">
        <is>
          <t>恐れ入りますが、もう一度ご説明いただけますでしょうか</t>
        </is>
      </c>
      <c r="G5" s="10" t="inlineStr">
        <is>
          <t>MVP</t>
        </is>
      </c>
      <c r="H5" s="10" t="inlineStr">
        <is>
          <t>High</t>
        </is>
      </c>
      <c r="I5" s="10" t="inlineStr">
        <is>
          <t>Nên có hội thoại ngắn + practice chọn cách hỏi lại.</t>
        </is>
      </c>
    </row>
    <row r="6" ht="48" customHeight="1" s="2">
      <c r="A6" s="10" t="inlineStr">
        <is>
          <t>Stage 2</t>
        </is>
      </c>
      <c r="B6" s="10" t="inlineStr">
        <is>
          <t>Reporting</t>
        </is>
      </c>
      <c r="C6" s="10" t="inlineStr">
        <is>
          <t>L2-REPORT-01</t>
        </is>
      </c>
      <c r="D6" s="10" t="inlineStr">
        <is>
          <t>Báo cáo tiến độ và báo delay</t>
        </is>
      </c>
      <c r="E6" s="10" t="inlineStr">
        <is>
          <t>Báo tiến độ tuần, nêu việc xong/chưa xong và lý do chậm.</t>
        </is>
      </c>
      <c r="F6" s="10" t="inlineStr">
        <is>
          <t>現在、〇〇まで完了しております / 少し遅れております</t>
        </is>
      </c>
      <c r="G6" s="10" t="inlineStr">
        <is>
          <t>MVP</t>
        </is>
      </c>
      <c r="H6" s="10" t="inlineStr">
        <is>
          <t>High</t>
        </is>
      </c>
      <c r="I6" s="10" t="inlineStr">
        <is>
          <t>Rất sát thực tế dự án offshore.</t>
        </is>
      </c>
    </row>
    <row r="7" ht="48" customHeight="1" s="2">
      <c r="A7" s="10" t="inlineStr">
        <is>
          <t>Stage 2</t>
        </is>
      </c>
      <c r="B7" s="10" t="inlineStr">
        <is>
          <t>Email</t>
        </is>
      </c>
      <c r="C7" s="10" t="inlineStr">
        <is>
          <t>L2-EMAIL-02</t>
        </is>
      </c>
      <c r="D7" s="10" t="inlineStr">
        <is>
          <t>Xác nhận yêu cầu sau meeting</t>
        </is>
      </c>
      <c r="E7" s="10" t="inlineStr">
        <is>
          <t>Tóm tắt lại nội dung đã hiểu và hỏi khách confirm.</t>
        </is>
      </c>
      <c r="F7" s="10" t="inlineStr">
        <is>
          <t>認識に相違がないかご確認お願いいたします</t>
        </is>
      </c>
      <c r="G7" s="10" t="inlineStr">
        <is>
          <t>Next</t>
        </is>
      </c>
      <c r="H7" s="10" t="inlineStr">
        <is>
          <t>Medium</t>
        </is>
      </c>
      <c r="I7" s="10" t="inlineStr">
        <is>
          <t>Dùng cho PM/BA/Comtor.</t>
        </is>
      </c>
    </row>
    <row r="8" ht="48" customHeight="1" s="2">
      <c r="A8" s="10" t="inlineStr">
        <is>
          <t>Stage 2</t>
        </is>
      </c>
      <c r="B8" s="10" t="inlineStr">
        <is>
          <t>Trouble</t>
        </is>
      </c>
      <c r="C8" s="10" t="inlineStr">
        <is>
          <t>L2-TROUBLE-01</t>
        </is>
      </c>
      <c r="D8" s="10" t="inlineStr">
        <is>
          <t>Báo lỗi phát sinh trên production</t>
        </is>
      </c>
      <c r="E8" s="10" t="inlineStr">
        <is>
          <t>Báo lỗi, ảnh hưởng, nguyên nhân tạm thời, hướng xử lý.</t>
        </is>
      </c>
      <c r="F8" s="10" t="inlineStr">
        <is>
          <t>原因を調査中です / 対応完了後、改めてご報告いたします</t>
        </is>
      </c>
      <c r="G8" s="10" t="inlineStr">
        <is>
          <t>Next</t>
        </is>
      </c>
      <c r="H8" s="10" t="inlineStr">
        <is>
          <t>High</t>
        </is>
      </c>
      <c r="I8" s="10" t="inlineStr">
        <is>
          <t>Có thể đưa vào Stage 3 sau.</t>
        </is>
      </c>
    </row>
    <row r="9" ht="48" customHeight="1" s="2">
      <c r="A9" s="10" t="inlineStr">
        <is>
          <t>Stage 2</t>
        </is>
      </c>
      <c r="B9" s="10" t="inlineStr">
        <is>
          <t>Meeting</t>
        </is>
      </c>
      <c r="C9" s="10" t="inlineStr">
        <is>
          <t>L2-MEET-02</t>
        </is>
      </c>
      <c r="D9" s="10" t="inlineStr">
        <is>
          <t>Cách xin thêm thời gian suy nghĩ</t>
        </is>
      </c>
      <c r="E9" s="10" t="inlineStr">
        <is>
          <t>Chưa thể trả lời ngay trong meeting, cần xin kiểm tra rồi phản hồi.</t>
        </is>
      </c>
      <c r="F9" s="10" t="inlineStr">
        <is>
          <t>確認してから回答いたします</t>
        </is>
      </c>
      <c r="G9" s="10" t="inlineStr">
        <is>
          <t>Next</t>
        </is>
      </c>
      <c r="H9" s="10" t="inlineStr">
        <is>
          <t>Medium</t>
        </is>
      </c>
      <c r="I9" s="10" t="inlineStr">
        <is>
          <t>Tình huống phổ biến với Dev.</t>
        </is>
      </c>
    </row>
    <row r="10" ht="48" customHeight="1" s="2">
      <c r="A10" s="10" t="inlineStr">
        <is>
          <t>Stage 3</t>
        </is>
      </c>
      <c r="B10" s="10" t="inlineStr">
        <is>
          <t>Trouble</t>
        </is>
      </c>
      <c r="C10" s="10" t="inlineStr">
        <is>
          <t>L3-TROUBLE-01</t>
        </is>
      </c>
      <c r="D10" s="10" t="inlineStr">
        <is>
          <t>Xin lỗi khi deploy gây lỗi</t>
        </is>
      </c>
      <c r="E10" s="10" t="inlineStr">
        <is>
          <t>Giải thích sự cố, xin lỗi, đưa hướng khắc phục và phòng ngừa.</t>
        </is>
      </c>
      <c r="F10" s="10" t="inlineStr">
        <is>
          <t>ご迷惑をおかけして申し訳ございません</t>
        </is>
      </c>
      <c r="G10" s="10" t="inlineStr">
        <is>
          <t>Future</t>
        </is>
      </c>
      <c r="H10" s="10" t="inlineStr">
        <is>
          <t>High</t>
        </is>
      </c>
      <c r="I10" s="10" t="inlineStr">
        <is>
          <t>Nên phát triển khi qua stage nâng cao.</t>
        </is>
      </c>
    </row>
    <row r="11" ht="48" customHeight="1" s="2">
      <c r="A11" s="10" t="inlineStr">
        <is>
          <t>Stage 3</t>
        </is>
      </c>
      <c r="B11" s="10" t="inlineStr">
        <is>
          <t>Negotiation</t>
        </is>
      </c>
      <c r="C11" s="10" t="inlineStr">
        <is>
          <t>L3-NEG-01</t>
        </is>
      </c>
      <c r="D11" s="10" t="inlineStr">
        <is>
          <t>Đàm phán deadline mềm</t>
        </is>
      </c>
      <c r="E11" s="10" t="inlineStr">
        <is>
          <t>Khách yêu cầu gấp, cần giải thích rủi ro và đề xuất phương án.</t>
        </is>
      </c>
      <c r="F11" s="10" t="inlineStr">
        <is>
          <t>品質を担保するため、〇日ほどいただけますでしょうか</t>
        </is>
      </c>
      <c r="G11" s="10" t="inlineStr">
        <is>
          <t>Future</t>
        </is>
      </c>
      <c r="H11" s="10" t="inlineStr">
        <is>
          <t>Medium</t>
        </is>
      </c>
      <c r="I11" s="10" t="inlineStr">
        <is>
          <t>Quan trọng cho PM/BRSE.</t>
        </is>
      </c>
    </row>
  </sheetData>
  <dataValidations count="2">
    <dataValidation sqref="G4:G11" showDropDown="0" showInputMessage="0" showErrorMessage="0" allowBlank="0" type="list">
      <formula1>"MVP,Next,Future"</formula1>
    </dataValidation>
    <dataValidation sqref="H4:H11" showDropDown="0" showInputMessage="0" showErrorMessage="0" allowBlank="0" type="list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2026-05-08T10:08:21Z</dcterms:created>
  <dcterms:modified xmlns:dcterms="http://purl.org/dc/terms/" xmlns:xsi="http://www.w3.org/2001/XMLSchema-instance" xsi:type="dcterms:W3CDTF">2026-05-08T10:08:22Z</dcterms:modified>
</cp:coreProperties>
</file>